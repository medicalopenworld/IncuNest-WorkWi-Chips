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arloshm/personal-projects/IncuNest-WorkWi-Chips/Incunest_v15/Mechanical/"/>
    </mc:Choice>
  </mc:AlternateContent>
  <xr:revisionPtr revIDLastSave="0" documentId="8_{823ECD2F-879F-7E4B-9D5D-8CF50FE6DCE8}" xr6:coauthVersionLast="47" xr6:coauthVersionMax="47" xr10:uidLastSave="{00000000-0000-0000-0000-000000000000}"/>
  <bookViews>
    <workbookView xWindow="4420" yWindow="660" windowWidth="25820" windowHeight="17980" xr2:uid="{00000000-000D-0000-FFFF-FFFF00000000}"/>
  </bookViews>
  <sheets>
    <sheet name="BOM Assembly" sheetId="1" r:id="rId1"/>
    <sheet name="Cables" sheetId="2" r:id="rId2"/>
    <sheet name="Workfor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2QcJwuIt0sZqqqUF+DnYgWdYcODs7lTkSLFbYLAR2Os="/>
    </ext>
  </extLst>
</workbook>
</file>

<file path=xl/calcChain.xml><?xml version="1.0" encoding="utf-8"?>
<calcChain xmlns="http://schemas.openxmlformats.org/spreadsheetml/2006/main">
  <c r="H32" i="1" l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<sst xmlns="http://schemas.openxmlformats.org/spreadsheetml/2006/main" count="265" uniqueCount="130">
  <si>
    <t>Parte</t>
  </si>
  <si>
    <t>Cantidad</t>
  </si>
  <si>
    <t>Precio unitario 2023</t>
  </si>
  <si>
    <t>Precio unitario 2024</t>
  </si>
  <si>
    <t>Precio unitario 2025</t>
  </si>
  <si>
    <t>Precio total</t>
  </si>
  <si>
    <t>Proveedor</t>
  </si>
  <si>
    <t>Stock Pablo</t>
  </si>
  <si>
    <t>Stock Salesianos Pamplona</t>
  </si>
  <si>
    <t>Link compra</t>
  </si>
  <si>
    <t>Link compra urgente</t>
  </si>
  <si>
    <t>PCBA (Placa electrónica)</t>
  </si>
  <si>
    <t>Electrónica</t>
  </si>
  <si>
    <t>JLCPCB</t>
  </si>
  <si>
    <t>Display</t>
  </si>
  <si>
    <t>Elecrow</t>
  </si>
  <si>
    <t>https://www.elecrow.com/esp32-display-7-inch-hmi-display-rgb-tft-lcd-touch-screen-support-lvgl.html</t>
  </si>
  <si>
    <t>Humidificador (placa electrónica)</t>
  </si>
  <si>
    <t>Sensor aire USB</t>
  </si>
  <si>
    <t>Placa LED</t>
  </si>
  <si>
    <t>PLACA POLIETILENO BLANCO 2000 X 1000 X 10 EN PE-300</t>
  </si>
  <si>
    <t>Estructura</t>
  </si>
  <si>
    <t>BRONZAKU</t>
  </si>
  <si>
    <t>-</t>
  </si>
  <si>
    <t>https://www.alibaba.com/product-detail/HDPE-plastic-sheet-PE300-PE500-PE1000_60164991050.html?spm=a2756.order-detail-ta-ta-b.0.0.2b882fc2Mw4oMA</t>
  </si>
  <si>
    <t>PLACA POLIETILENO BLANCO 2000 X 1000 X 5 EN PE-300</t>
  </si>
  <si>
    <t>PLACA PETG 1250 X 2050 X 0.8 mm</t>
  </si>
  <si>
    <t>PLACA METACRILATO 1250 X 2050 X 5 mm</t>
  </si>
  <si>
    <t>Tornilleria INOX + Varillas</t>
  </si>
  <si>
    <t>IRIGARAY Noain</t>
  </si>
  <si>
    <t>Impresión 3D (PLA + PETG + FLEX)</t>
  </si>
  <si>
    <t>Impresión 3D</t>
  </si>
  <si>
    <t>Mtorres</t>
  </si>
  <si>
    <t>Calefactor</t>
  </si>
  <si>
    <t>https://www.alibaba.com/product-detail/VSEC-Low-voltage-12V24V-60x60with-fan_1600374482236.html?spm=a2756.order-detail-ta-ta-b.0.0.40a62fc20UwsCh</t>
  </si>
  <si>
    <t>https://www.amazon.es/Fdit-Desodorante-Calefacci%C3%B3n-Calentamiento-Temperatura/dp/B07JNVD6S6/ref=sr_1_3?__mk_es_ES=%C3%85M%C3%85%C5%BD%C3%95%C3%91&amp;crid=YDM1FBK7BDOV&amp;keywords=heater%2B12v%2B100w&amp;qid=1654693558&amp;sprefix=heater%2B12v%2B100w%2Caps%2C68&amp;sr=8-3&amp;th=1</t>
  </si>
  <si>
    <t>Piezoeléctrico humidificador</t>
  </si>
  <si>
    <t>https://es.aliexpress.com/item/1005003789313581.html?spm=a2g0o.cart.0.0.50ce7a9dTFwLzm&amp;mp=1&amp;gatewayAdapt=glo2esp</t>
  </si>
  <si>
    <t>Muelle humidificador (0.4x7-8-15x8mm)</t>
  </si>
  <si>
    <t>https://www.aliexpress.com/item/33003878267.html?spm=a2g0o.order_detail.0.0.792df19cCr9aQH</t>
  </si>
  <si>
    <t>6025 55.3x25mm Frameless DC 12V 24V cooling fan + 30CM cable 3 pin</t>
  </si>
  <si>
    <t>https://www.alibaba.com/product-detail/High-Performance-12v-2-16w-Dc_1600604080724.html?spm=a2700.shop_plgr.41413.2.7805618eA9gtX5</t>
  </si>
  <si>
    <t>Fuente alimentación 12V (20A minimo)</t>
  </si>
  <si>
    <t>https://www.alibaba.com/product-detail/SOMPOM-AC-to-DC-Open-Frame_1600640688827.html?spm=a2756.order-detail-ta-ta-b.0.0.50692fc2xTnmpw</t>
  </si>
  <si>
    <t>https://www.amazon.es/gp/product/B01MRSAT39/ref=ppx_yo_dt_b_asin_image_o06_s00?ie=UTF8&amp;psc=1</t>
  </si>
  <si>
    <t>Sensor temperatura NTC</t>
  </si>
  <si>
    <t>https://www.aliexpress.com/item/32215916414.html?spm=a2g0o.order_list.0.0.21ef1802eLpalY</t>
  </si>
  <si>
    <t>https://www.amazon.es/sensores-temperatura-impermeables-sensor-precisi%C3%B3n/dp/B07Y1TRBS2/ref=sr_1_6?__mk_es_ES=%C3%85M%C3%85%C5%BD%C3%95%C3%91&amp;crid=1I2O06NOAQRBO&amp;keywords=sensor+temperatura+ntc+1m&amp;qid=1654694069&amp;sprefix=sensor+temperatura+ntc+1m%2Caps%2C88&amp;sr=8-6</t>
  </si>
  <si>
    <t>Cableado + terminales</t>
  </si>
  <si>
    <t>CEBB cableados</t>
  </si>
  <si>
    <t>Colchon antiescaras</t>
  </si>
  <si>
    <t>https://www.amazon.es/dp/B081FD5YPQ?psc=1&amp;smid=AI8QHMGPGEF9A&amp;ref_=chk_typ_imgToDp</t>
  </si>
  <si>
    <t>Funda colchón</t>
  </si>
  <si>
    <t>Moshy</t>
  </si>
  <si>
    <t>Cable IEC C13 europeo 3 metros</t>
  </si>
  <si>
    <t>https://www.alibaba.com/product-detail/European-3-Pin-Round-AC-EU_1600328486399.html?spm=a2756.order-detail-ta-ta-b.0.0.52c82fc2Rf1Zui</t>
  </si>
  <si>
    <t>Enchufe CA IEC320 (C14 AC-04)</t>
  </si>
  <si>
    <t>https://www.aliexpress.com/item/32961436466.html?spm=a2g0o.order_list.0.0.21ef1802eLpalY</t>
  </si>
  <si>
    <t>https://amazon.es/gp/product/B0814PT3YG/ref=ppx_yo_dt_b_asin_title_o00_s00?ie=UTF8&amp;psc=1</t>
  </si>
  <si>
    <t>Cable USB C 1 metro</t>
  </si>
  <si>
    <t>https://www.alibaba.com/product-detail/Factory-Cheap-Price-Hot-Sell-Type_1600560931521.html?spm=a2756.order-detail-ta-ta-b.0.0.e73f2fc22I4szp</t>
  </si>
  <si>
    <t>https://www.amazon.es/NIBIKIA-Cargador-R%C3%A1pida-Sincronizaci%C3%B3n-Samsung/dp/B08F1TV4YN/ref=sr_1_5?__mk_es_ES=%C3%85M%C3%85%C5%BD%C3%95%C3%91&amp;crid=J9611WT8S90I&amp;keywords=usb+cable+1m&amp;qid=1654694164&amp;sprefix=usb+cable+1m%2Caps%2C94&amp;sr=8-5</t>
  </si>
  <si>
    <t>Bisagras escotillas</t>
  </si>
  <si>
    <t>https://www.amazon.es/dp/B087MCL42K?psc=1&amp;smid=A839N7HCQOMKL&amp;ref_=chk_typ_imgToDp</t>
  </si>
  <si>
    <t>Imanes impresión 3D</t>
  </si>
  <si>
    <t>https://www.aliexpress.com/item/1005001614154741.html?spm=a2g0o.order_list.0.0.21ef1802eLpalY</t>
  </si>
  <si>
    <t>Recambio humidificador (8x120)</t>
  </si>
  <si>
    <t>https://es.aliexpress.com/item/1005003007635792.html?dp=a8d7046c93ec7198f9860e4a10f38642&amp;af=1711154&amp;cv=47843&amp;afref=https%3A%2F%2Finfica.com&amp;mall_affr=pr3&amp;utm_source=admitad&amp;utm_medium=cpa&amp;utm_campaign=1711154&amp;utm_content=47843&amp;dp=a8d7046c93ec7198f9860e4a10f38642&amp;af=1711154&amp;cv=47843&amp;afref=https%3A%2F%2Finfica.com&amp;mall_affr=pr3&amp;utm_source=admitad&amp;utm_medium=cpa&amp;utm_campaign=1711154&amp;utm_content=47843&amp;aff_fcid=53fb752950ae43f08bd6d3263cb7290d-1685522296801-05568-_ePNSNV&amp;aff_fsk=_ePNSNV&amp;aff_platform=portals-tool&amp;sk=_ePNSNV&amp;aff_trace_key=53fb752950ae43f08bd6d3263cb7290d-1685522296801-05568-_ePNSNV&amp;terminal_id=898e407f494f470d88ce3592b297a7a8&amp;afSmartRedirect=y</t>
  </si>
  <si>
    <t>https://www.amazon.es/gp/product/B0D41KXSG1/ref=ppx_yo_dt_b_asin_title_o00_s00?ie=UTF8&amp;psc=1</t>
  </si>
  <si>
    <t>Imanes puerta</t>
  </si>
  <si>
    <t>Plan activación datos 500MB 5 años</t>
  </si>
  <si>
    <t>Truphone</t>
  </si>
  <si>
    <t>Pulsioxímetro</t>
  </si>
  <si>
    <t>https://www.alibaba.com/product-detail/Portable-Handheld-Pulse-Detector-Monitor-With_1600833765236.html</t>
  </si>
  <si>
    <t>TOTAL coste incubadora</t>
  </si>
  <si>
    <t>Name</t>
  </si>
  <si>
    <t>Description</t>
  </si>
  <si>
    <t>Nominal Voltage (V)</t>
  </si>
  <si>
    <t>Max current (A)</t>
  </si>
  <si>
    <t>Length (cm)</t>
  </si>
  <si>
    <t>Pin number</t>
  </si>
  <si>
    <t>Color</t>
  </si>
  <si>
    <t>Pinout</t>
  </si>
  <si>
    <t>Sección (mm2)</t>
  </si>
  <si>
    <t>Terminal  End 1</t>
  </si>
  <si>
    <t>Terminal  End 2</t>
  </si>
  <si>
    <t>Power supply to PCBA</t>
  </si>
  <si>
    <t>Bifilar</t>
  </si>
  <si>
    <t>12 DC</t>
  </si>
  <si>
    <t>Red</t>
  </si>
  <si>
    <t>12V</t>
  </si>
  <si>
    <t>Terminal horquilla</t>
  </si>
  <si>
    <t>Puntera</t>
  </si>
  <si>
    <t>Black</t>
  </si>
  <si>
    <t>GND</t>
  </si>
  <si>
    <t>AWG</t>
  </si>
  <si>
    <t>PCBA to LEDs</t>
  </si>
  <si>
    <t>Cable pelado 3mm</t>
  </si>
  <si>
    <t>AC socket to power supply</t>
  </si>
  <si>
    <t>Unifilar</t>
  </si>
  <si>
    <t>220 AC</t>
  </si>
  <si>
    <t>Blue</t>
  </si>
  <si>
    <t>Live</t>
  </si>
  <si>
    <t>Faston 4.8mm</t>
  </si>
  <si>
    <t>Black/Brown</t>
  </si>
  <si>
    <t>Neutral</t>
  </si>
  <si>
    <t>Yellow + Green</t>
  </si>
  <si>
    <t>Earth</t>
  </si>
  <si>
    <t>Mains to AC socket</t>
  </si>
  <si>
    <t>CEE 7/7 Plug to IEC 60320 C13</t>
  </si>
  <si>
    <t>230 AC</t>
  </si>
  <si>
    <t>EU socket</t>
  </si>
  <si>
    <t>IEC 60320 C13</t>
  </si>
  <si>
    <t>PCBA to Humidifier</t>
  </si>
  <si>
    <t>USB-C</t>
  </si>
  <si>
    <t>5 DC</t>
  </si>
  <si>
    <t>PCBA to Humidity sensor</t>
  </si>
  <si>
    <t>Hrs</t>
  </si>
  <si>
    <t>Eur/Hr</t>
  </si>
  <si>
    <t>Euro</t>
  </si>
  <si>
    <t>Mecanizado</t>
  </si>
  <si>
    <t>Montaje cuna</t>
  </si>
  <si>
    <t>Montaje electrónica</t>
  </si>
  <si>
    <t>Verificación final</t>
  </si>
  <si>
    <t>Prueba 24 hrs marcha</t>
  </si>
  <si>
    <t>TOTAL FABRICACION</t>
  </si>
  <si>
    <t>No se considera nada de diseño, compras, logística, documentación, etc..</t>
  </si>
  <si>
    <t>ni viajes de Pablo para puesta en marcha</t>
  </si>
  <si>
    <t>No se consideran reposiciones por problemas en la puesta en marcha</t>
  </si>
  <si>
    <t>No se consideran gastos de envíos parciales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</si>
</sst>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[$€]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u/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2C4C9"/>
        <bgColor rgb="FFA2C4C9"/>
      </patternFill>
    </fill>
    <fill>
      <patternFill patternType="solid">
        <fgColor rgb="FF4DD0E1"/>
        <bgColor rgb="FF4DD0E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0" fontId="3" fillId="0" borderId="0" xfId="0" applyFont="1"/>
    <xf numFmtId="164" fontId="2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3" fillId="2" borderId="0" xfId="0" applyFont="1" applyFill="1"/>
    <xf numFmtId="164" fontId="3" fillId="2" borderId="0" xfId="0" applyNumberFormat="1" applyFont="1" applyFill="1"/>
    <xf numFmtId="0" fontId="2" fillId="3" borderId="1" xfId="0" applyFont="1" applyFill="1" applyBorder="1" applyAlignment="1">
      <alignment horizontal="left"/>
    </xf>
    <xf numFmtId="0" fontId="3" fillId="0" borderId="1" xfId="0" applyFont="1" applyBorder="1"/>
  </cellXfs>
  <cellStyles count="1">
    <cellStyle name="Normal" xfId="0" builtinId="0"/>
  </cellStyles>
  <dxfs count="15"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5">
    <tableStyle name="BOM Assembly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Cables-style" pivot="0" count="3" xr9:uid="{00000000-0011-0000-FFFF-FFFF01000000}">
      <tableStyleElement type="headerRow" dxfId="11"/>
      <tableStyleElement type="firstRowStripe" dxfId="10"/>
      <tableStyleElement type="secondRowStripe" dxfId="9"/>
    </tableStyle>
    <tableStyle name="Cables-style 2" pivot="0" count="3" xr9:uid="{00000000-0011-0000-FFFF-FFFF02000000}">
      <tableStyleElement type="headerRow" dxfId="8"/>
      <tableStyleElement type="firstRowStripe" dxfId="7"/>
      <tableStyleElement type="secondRowStripe" dxfId="6"/>
    </tableStyle>
    <tableStyle name="Cables-style 3" pivot="0" count="3" xr9:uid="{00000000-0011-0000-FFFF-FFFF03000000}">
      <tableStyleElement type="headerRow" dxfId="5"/>
      <tableStyleElement type="firstRowStripe" dxfId="4"/>
      <tableStyleElement type="secondRowStripe" dxfId="3"/>
    </tableStyle>
    <tableStyle name="Cables-style 4" pivot="0" count="3" xr9:uid="{00000000-0011-0000-FFFF-FFFF04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M33" headerRowCount="0">
  <tableColumns count="1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</tableColumns>
  <tableStyleInfo name="BOM Assembly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2:M4">
  <tableColumns count="11">
    <tableColumn id="1" xr3:uid="{00000000-0010-0000-0100-000001000000}" name="Name"/>
    <tableColumn id="2" xr3:uid="{00000000-0010-0000-0100-000002000000}" name="Description"/>
    <tableColumn id="3" xr3:uid="{00000000-0010-0000-0100-000003000000}" name="Nominal Voltage (V)"/>
    <tableColumn id="4" xr3:uid="{00000000-0010-0000-0100-000004000000}" name="Max current (A)"/>
    <tableColumn id="5" xr3:uid="{00000000-0010-0000-0100-000005000000}" name="Length (cm)"/>
    <tableColumn id="6" xr3:uid="{00000000-0010-0000-0100-000006000000}" name="Pin number"/>
    <tableColumn id="7" xr3:uid="{00000000-0010-0000-0100-000007000000}" name="Color"/>
    <tableColumn id="8" xr3:uid="{00000000-0010-0000-0100-000008000000}" name="Pinout"/>
    <tableColumn id="9" xr3:uid="{00000000-0010-0000-0100-000009000000}" name="Sección (mm2)"/>
    <tableColumn id="10" xr3:uid="{00000000-0010-0000-0100-00000A000000}" name="Terminal  End 1"/>
    <tableColumn id="11" xr3:uid="{00000000-0010-0000-0100-00000B000000}" name="Terminal  End 2"/>
  </tableColumns>
  <tableStyleInfo name="Cable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6:M8">
  <tableColumns count="11">
    <tableColumn id="1" xr3:uid="{00000000-0010-0000-0200-000001000000}" name="Name"/>
    <tableColumn id="2" xr3:uid="{00000000-0010-0000-0200-000002000000}" name="Description"/>
    <tableColumn id="3" xr3:uid="{00000000-0010-0000-0200-000003000000}" name="Nominal Voltage (V)"/>
    <tableColumn id="4" xr3:uid="{00000000-0010-0000-0200-000004000000}" name="Max current (A)"/>
    <tableColumn id="5" xr3:uid="{00000000-0010-0000-0200-000005000000}" name="Length (cm)"/>
    <tableColumn id="6" xr3:uid="{00000000-0010-0000-0200-000006000000}" name="Pin number"/>
    <tableColumn id="7" xr3:uid="{00000000-0010-0000-0200-000007000000}" name="Color"/>
    <tableColumn id="8" xr3:uid="{00000000-0010-0000-0200-000008000000}" name="Pinout"/>
    <tableColumn id="9" xr3:uid="{00000000-0010-0000-0200-000009000000}" name="AWG"/>
    <tableColumn id="10" xr3:uid="{00000000-0010-0000-0200-00000A000000}" name="Terminal  End 1"/>
    <tableColumn id="11" xr3:uid="{00000000-0010-0000-0200-00000B000000}" name="Terminal  End 2"/>
  </tableColumns>
  <tableStyleInfo name="Cables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10:M13">
  <tableColumns count="11">
    <tableColumn id="1" xr3:uid="{00000000-0010-0000-0300-000001000000}" name="Name"/>
    <tableColumn id="2" xr3:uid="{00000000-0010-0000-0300-000002000000}" name="Description"/>
    <tableColumn id="3" xr3:uid="{00000000-0010-0000-0300-000003000000}" name="Nominal Voltage (V)"/>
    <tableColumn id="4" xr3:uid="{00000000-0010-0000-0300-000004000000}" name="Max current (A)"/>
    <tableColumn id="5" xr3:uid="{00000000-0010-0000-0300-000005000000}" name="Length (cm)"/>
    <tableColumn id="6" xr3:uid="{00000000-0010-0000-0300-000006000000}" name="Pin number"/>
    <tableColumn id="7" xr3:uid="{00000000-0010-0000-0300-000007000000}" name="Color"/>
    <tableColumn id="8" xr3:uid="{00000000-0010-0000-0300-000008000000}" name="Pinout"/>
    <tableColumn id="9" xr3:uid="{00000000-0010-0000-0300-000009000000}" name="AWG"/>
    <tableColumn id="10" xr3:uid="{00000000-0010-0000-0300-00000A000000}" name="Terminal  End 1"/>
    <tableColumn id="11" xr3:uid="{00000000-0010-0000-0300-00000B000000}" name="Terminal  End 2"/>
  </tableColumns>
  <tableStyleInfo name="Cables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C15:M16">
  <tableColumns count="11">
    <tableColumn id="1" xr3:uid="{00000000-0010-0000-0400-000001000000}" name="Name"/>
    <tableColumn id="2" xr3:uid="{00000000-0010-0000-0400-000002000000}" name="Description"/>
    <tableColumn id="3" xr3:uid="{00000000-0010-0000-0400-000003000000}" name="Nominal Voltage (V)"/>
    <tableColumn id="4" xr3:uid="{00000000-0010-0000-0400-000004000000}" name="Max current (A)"/>
    <tableColumn id="5" xr3:uid="{00000000-0010-0000-0400-000005000000}" name="Length (cm)"/>
    <tableColumn id="6" xr3:uid="{00000000-0010-0000-0400-000006000000}" name="Pin number"/>
    <tableColumn id="7" xr3:uid="{00000000-0010-0000-0400-000007000000}" name="Color"/>
    <tableColumn id="8" xr3:uid="{00000000-0010-0000-0400-000008000000}" name="Pinout"/>
    <tableColumn id="9" xr3:uid="{00000000-0010-0000-0400-000009000000}" name="AWG"/>
    <tableColumn id="10" xr3:uid="{00000000-0010-0000-0400-00000A000000}" name="Terminal  End 1"/>
    <tableColumn id="11" xr3:uid="{00000000-0010-0000-0400-00000B000000}" name="Terminal  End 2"/>
  </tableColumns>
  <tableStyleInfo name="Cables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baba.com/product-detail/High-Performance-12v-2-16w-Dc_1600604080724.html?spm=a2700.shop_plgr.41413.2.7805618eA9gtX5" TargetMode="External"/><Relationship Id="rId13" Type="http://schemas.openxmlformats.org/officeDocument/2006/relationships/hyperlink" Target="https://www.amazon.es/dp/B081FD5YPQ?psc=1&amp;smid=AI8QHMGPGEF9A&amp;ref_=chk_typ_imgToDp" TargetMode="External"/><Relationship Id="rId18" Type="http://schemas.openxmlformats.org/officeDocument/2006/relationships/hyperlink" Target="https://www.amazon.es/NIBIKIA-Cargador-R%C3%A1pida-Sincronizaci%C3%B3n-Samsung/dp/B08F1TV4YN/ref=sr_1_5?__mk_es_ES=%C3%85M%C3%85%C5%BD%C3%95%C3%91&amp;crid=J9611WT8S90I&amp;keywords=usb+cable+1m&amp;qid=1654694164&amp;sprefix=usb+cable+1m%2Caps%2C94&amp;sr=8-5" TargetMode="External"/><Relationship Id="rId3" Type="http://schemas.openxmlformats.org/officeDocument/2006/relationships/hyperlink" Target="https://www.alibaba.com/product-detail/HDPE-plastic-sheet-PE300-PE500-PE1000_60164991050.html?spm=a2756.order-detail-ta-ta-b.0.0.2b882fc2Mw4oMA" TargetMode="External"/><Relationship Id="rId21" Type="http://schemas.openxmlformats.org/officeDocument/2006/relationships/hyperlink" Target="https://es.aliexpress.com/item/1005003007635792.html?dp=a8d7046c93ec7198f9860e4a10f38642&amp;af=1711154&amp;cv=47843&amp;afref=https%3A%2F%2Finfica.com&amp;mall_affr=pr3&amp;utm_source=admitad&amp;utm_medium=cpa&amp;utm_campaign=1711154&amp;utm_content=47843&amp;dp=a8d7046c93ec7198f9860e4a10f38642&amp;af=1711154&amp;cv=47843&amp;afref=https%3A%2F%2Finfica.com&amp;mall_affr=pr3&amp;utm_source=admitad&amp;utm_medium=cpa&amp;utm_campaign=1711154&amp;utm_content=47843&amp;aff_fcid=53fb752950ae43f08bd6d3263cb7290d-1685522296801-05568-_ePNSNV&amp;aff_fsk=_ePNSNV&amp;aff_platform=portals-tool&amp;sk=_ePNSNV&amp;aff_trace_key=53fb752950ae43f08bd6d3263cb7290d-1685522296801-05568-_ePNSNV&amp;terminal_id=898e407f494f470d88ce3592b297a7a8&amp;afSmartRedirect=y" TargetMode="External"/><Relationship Id="rId7" Type="http://schemas.openxmlformats.org/officeDocument/2006/relationships/hyperlink" Target="https://www.aliexpress.com/item/33003878267.html?spm=a2g0o.order_detail.0.0.792df19cCr9aQH" TargetMode="External"/><Relationship Id="rId12" Type="http://schemas.openxmlformats.org/officeDocument/2006/relationships/hyperlink" Target="https://www.amazon.es/sensores-temperatura-impermeables-sensor-precisi%C3%B3n/dp/B07Y1TRBS2/ref=sr_1_6?__mk_es_ES=%C3%85M%C3%85%C5%BD%C3%95%C3%91&amp;crid=1I2O06NOAQRBO&amp;keywords=sensor+temperatura+ntc+1m&amp;qid=1654694069&amp;sprefix=sensor+temperatura+ntc+1m%2Caps%2C88&amp;sr=8-6" TargetMode="External"/><Relationship Id="rId17" Type="http://schemas.openxmlformats.org/officeDocument/2006/relationships/hyperlink" Target="https://www.alibaba.com/product-detail/Factory-Cheap-Price-Hot-Sell-Type_1600560931521.html?spm=a2756.order-detail-ta-ta-b.0.0.e73f2fc22I4szp" TargetMode="External"/><Relationship Id="rId2" Type="http://schemas.openxmlformats.org/officeDocument/2006/relationships/hyperlink" Target="https://www.alibaba.com/product-detail/HDPE-plastic-sheet-PE300-PE500-PE1000_60164991050.html?spm=a2756.order-detail-ta-ta-b.0.0.2b882fc2Mw4oMA" TargetMode="External"/><Relationship Id="rId16" Type="http://schemas.openxmlformats.org/officeDocument/2006/relationships/hyperlink" Target="https://amazon.es/gp/product/B0814PT3YG/ref=ppx_yo_dt_b_asin_title_o00_s00?ie=UTF8&amp;psc=1" TargetMode="External"/><Relationship Id="rId20" Type="http://schemas.openxmlformats.org/officeDocument/2006/relationships/hyperlink" Target="https://www.aliexpress.com/item/1005001614154741.html?spm=a2g0o.order_list.0.0.21ef1802eLpalY" TargetMode="External"/><Relationship Id="rId1" Type="http://schemas.openxmlformats.org/officeDocument/2006/relationships/hyperlink" Target="https://www.elecrow.com/esp32-display-7-inch-hmi-display-rgb-tft-lcd-touch-screen-support-lvgl.html" TargetMode="External"/><Relationship Id="rId6" Type="http://schemas.openxmlformats.org/officeDocument/2006/relationships/hyperlink" Target="https://es.aliexpress.com/item/1005003789313581.html?spm=a2g0o.cart.0.0.50ce7a9dTFwLzm&amp;mp=1&amp;gatewayAdapt=glo2esp" TargetMode="External"/><Relationship Id="rId11" Type="http://schemas.openxmlformats.org/officeDocument/2006/relationships/hyperlink" Target="https://www.aliexpress.com/item/32215916414.html?spm=a2g0o.order_list.0.0.21ef1802eLpalY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www.amazon.es/Fdit-Desodorante-Calefacci%C3%B3n-Calentamiento-Temperatura/dp/B07JNVD6S6/ref=sr_1_3?__mk_es_ES=%C3%85M%C3%85%C5%BD%C3%95%C3%91&amp;crid=YDM1FBK7BDOV&amp;keywords=heater%2B12v%2B100w&amp;qid=1654693558&amp;sprefix=heater%2B12v%2B100w%2Caps%2C68&amp;sr=8-3&amp;th=1" TargetMode="External"/><Relationship Id="rId15" Type="http://schemas.openxmlformats.org/officeDocument/2006/relationships/hyperlink" Target="https://www.aliexpress.com/item/32961436466.html?spm=a2g0o.order_list.0.0.21ef1802eLpalY" TargetMode="External"/><Relationship Id="rId23" Type="http://schemas.openxmlformats.org/officeDocument/2006/relationships/hyperlink" Target="https://www.alibaba.com/product-detail/Portable-Handheld-Pulse-Detector-Monitor-With_1600833765236.html" TargetMode="External"/><Relationship Id="rId10" Type="http://schemas.openxmlformats.org/officeDocument/2006/relationships/hyperlink" Target="https://www.amazon.es/gp/product/B01MRSAT39/ref=ppx_yo_dt_b_asin_image_o06_s00?ie=UTF8&amp;psc=1" TargetMode="External"/><Relationship Id="rId19" Type="http://schemas.openxmlformats.org/officeDocument/2006/relationships/hyperlink" Target="https://www.amazon.es/dp/B087MCL42K?psc=1&amp;smid=A839N7HCQOMKL&amp;ref_=chk_typ_imgToDp" TargetMode="External"/><Relationship Id="rId4" Type="http://schemas.openxmlformats.org/officeDocument/2006/relationships/hyperlink" Target="https://www.alibaba.com/product-detail/VSEC-Low-voltage-12V24V-60x60with-fan_1600374482236.html?spm=a2756.order-detail-ta-ta-b.0.0.40a62fc20UwsCh" TargetMode="External"/><Relationship Id="rId9" Type="http://schemas.openxmlformats.org/officeDocument/2006/relationships/hyperlink" Target="https://www.alibaba.com/product-detail/SOMPOM-AC-to-DC-Open-Frame_1600640688827.html?spm=a2756.order-detail-ta-ta-b.0.0.50692fc2xTnmpw" TargetMode="External"/><Relationship Id="rId14" Type="http://schemas.openxmlformats.org/officeDocument/2006/relationships/hyperlink" Target="https://www.alibaba.com/product-detail/European-3-Pin-Round-AC-EU_1600328486399.html?spm=a2756.order-detail-ta-ta-b.0.0.52c82fc2Rf1Zui" TargetMode="External"/><Relationship Id="rId22" Type="http://schemas.openxmlformats.org/officeDocument/2006/relationships/hyperlink" Target="https://www.amazon.es/gp/product/B0D41KXSG1/ref=ppx_yo_dt_b_asin_title_o00_s00?ie=UTF8&amp;psc=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1003"/>
  <sheetViews>
    <sheetView tabSelected="1" workbookViewId="0"/>
  </sheetViews>
  <sheetFormatPr baseColWidth="10" defaultColWidth="12.6640625" defaultRowHeight="15" customHeight="1" x14ac:dyDescent="0.15"/>
  <cols>
    <col min="1" max="1" width="12.6640625" customWidth="1"/>
    <col min="2" max="2" width="47.6640625" customWidth="1"/>
    <col min="3" max="4" width="13.1640625" customWidth="1"/>
    <col min="5" max="5" width="21.83203125" hidden="1" customWidth="1"/>
    <col min="6" max="6" width="15.83203125" hidden="1" customWidth="1"/>
    <col min="7" max="7" width="15.83203125" customWidth="1"/>
    <col min="10" max="10" width="12.6640625" hidden="1" customWidth="1"/>
    <col min="11" max="11" width="21.6640625" hidden="1" customWidth="1"/>
    <col min="12" max="13" width="78.5" customWidth="1"/>
  </cols>
  <sheetData>
    <row r="1" spans="1:13" ht="15.75" customHeight="1" x14ac:dyDescent="0.15">
      <c r="A1" s="1"/>
    </row>
    <row r="2" spans="1:13" ht="15.75" customHeight="1" x14ac:dyDescent="0.2">
      <c r="B2" s="2"/>
      <c r="C2" s="2" t="s">
        <v>0</v>
      </c>
      <c r="D2" s="2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</row>
    <row r="3" spans="1:13" ht="15.75" customHeight="1" x14ac:dyDescent="0.2">
      <c r="B3" s="2" t="s">
        <v>11</v>
      </c>
      <c r="C3" s="2" t="s">
        <v>12</v>
      </c>
      <c r="D3" s="2">
        <v>1</v>
      </c>
      <c r="E3" s="4">
        <v>75</v>
      </c>
      <c r="F3" s="4">
        <v>60</v>
      </c>
      <c r="G3" s="4">
        <v>60</v>
      </c>
      <c r="H3" s="4">
        <f t="shared" ref="H3:H31" si="0">G3*D3</f>
        <v>60</v>
      </c>
      <c r="I3" s="2" t="s">
        <v>13</v>
      </c>
      <c r="J3" s="2">
        <v>20</v>
      </c>
      <c r="K3" s="2"/>
      <c r="L3" s="2"/>
      <c r="M3" s="2"/>
    </row>
    <row r="4" spans="1:13" ht="15.75" customHeight="1" x14ac:dyDescent="0.2">
      <c r="B4" s="2" t="s">
        <v>14</v>
      </c>
      <c r="C4" s="2" t="s">
        <v>12</v>
      </c>
      <c r="D4" s="2">
        <v>1</v>
      </c>
      <c r="E4" s="4"/>
      <c r="F4" s="4">
        <v>40</v>
      </c>
      <c r="G4" s="4">
        <v>40</v>
      </c>
      <c r="H4" s="4">
        <f t="shared" si="0"/>
        <v>40</v>
      </c>
      <c r="I4" s="2" t="s">
        <v>15</v>
      </c>
      <c r="J4" s="2"/>
      <c r="K4" s="2"/>
      <c r="L4" s="5" t="s">
        <v>16</v>
      </c>
      <c r="M4" s="2"/>
    </row>
    <row r="5" spans="1:13" ht="15.75" customHeight="1" x14ac:dyDescent="0.2">
      <c r="B5" s="2" t="s">
        <v>17</v>
      </c>
      <c r="C5" s="2" t="s">
        <v>12</v>
      </c>
      <c r="D5" s="2">
        <v>1</v>
      </c>
      <c r="E5" s="4"/>
      <c r="F5" s="4"/>
      <c r="G5" s="4">
        <v>7</v>
      </c>
      <c r="H5" s="4">
        <f t="shared" si="0"/>
        <v>7</v>
      </c>
      <c r="I5" s="2" t="s">
        <v>13</v>
      </c>
      <c r="J5" s="2">
        <v>20</v>
      </c>
      <c r="K5" s="2"/>
      <c r="L5" s="2"/>
      <c r="M5" s="2"/>
    </row>
    <row r="6" spans="1:13" ht="15.75" customHeight="1" x14ac:dyDescent="0.2">
      <c r="B6" s="2" t="s">
        <v>18</v>
      </c>
      <c r="C6" s="2" t="s">
        <v>12</v>
      </c>
      <c r="D6" s="2">
        <v>1</v>
      </c>
      <c r="E6" s="4"/>
      <c r="F6" s="4"/>
      <c r="G6" s="4">
        <v>15</v>
      </c>
      <c r="H6" s="4">
        <f t="shared" si="0"/>
        <v>15</v>
      </c>
      <c r="I6" s="2" t="s">
        <v>13</v>
      </c>
      <c r="J6" s="2">
        <v>20</v>
      </c>
      <c r="K6" s="2"/>
      <c r="L6" s="2"/>
      <c r="M6" s="2"/>
    </row>
    <row r="7" spans="1:13" ht="15.75" customHeight="1" x14ac:dyDescent="0.2">
      <c r="B7" s="2" t="s">
        <v>19</v>
      </c>
      <c r="C7" s="2" t="s">
        <v>12</v>
      </c>
      <c r="D7" s="2">
        <v>1</v>
      </c>
      <c r="E7" s="4">
        <v>0</v>
      </c>
      <c r="F7" s="4">
        <v>0</v>
      </c>
      <c r="G7" s="4">
        <v>10</v>
      </c>
      <c r="H7" s="4">
        <f t="shared" si="0"/>
        <v>10</v>
      </c>
      <c r="I7" s="2" t="s">
        <v>13</v>
      </c>
      <c r="J7" s="2">
        <v>20</v>
      </c>
      <c r="K7" s="2"/>
      <c r="L7" s="2"/>
      <c r="M7" s="2"/>
    </row>
    <row r="8" spans="1:13" ht="15.75" customHeight="1" x14ac:dyDescent="0.2">
      <c r="B8" s="2" t="s">
        <v>20</v>
      </c>
      <c r="C8" s="2" t="s">
        <v>21</v>
      </c>
      <c r="D8" s="2">
        <v>1</v>
      </c>
      <c r="E8" s="4">
        <v>50</v>
      </c>
      <c r="F8" s="4">
        <v>50</v>
      </c>
      <c r="G8" s="4">
        <v>60</v>
      </c>
      <c r="H8" s="4">
        <f t="shared" si="0"/>
        <v>60</v>
      </c>
      <c r="I8" s="2" t="s">
        <v>22</v>
      </c>
      <c r="J8" s="2" t="s">
        <v>23</v>
      </c>
      <c r="K8" s="2"/>
      <c r="L8" s="5" t="s">
        <v>24</v>
      </c>
      <c r="M8" s="2" t="s">
        <v>22</v>
      </c>
    </row>
    <row r="9" spans="1:13" ht="15.75" customHeight="1" x14ac:dyDescent="0.2">
      <c r="B9" s="2" t="s">
        <v>25</v>
      </c>
      <c r="C9" s="2" t="s">
        <v>21</v>
      </c>
      <c r="D9" s="2">
        <v>1</v>
      </c>
      <c r="E9" s="4">
        <v>15</v>
      </c>
      <c r="F9" s="4">
        <v>15</v>
      </c>
      <c r="G9" s="4">
        <v>16</v>
      </c>
      <c r="H9" s="4">
        <f t="shared" si="0"/>
        <v>16</v>
      </c>
      <c r="I9" s="2" t="s">
        <v>22</v>
      </c>
      <c r="J9" s="2" t="s">
        <v>23</v>
      </c>
      <c r="K9" s="2"/>
      <c r="L9" s="5" t="s">
        <v>24</v>
      </c>
      <c r="M9" s="2" t="s">
        <v>22</v>
      </c>
    </row>
    <row r="10" spans="1:13" ht="15.75" customHeight="1" x14ac:dyDescent="0.2">
      <c r="B10" s="2" t="s">
        <v>26</v>
      </c>
      <c r="C10" s="2" t="s">
        <v>21</v>
      </c>
      <c r="D10" s="2">
        <v>1</v>
      </c>
      <c r="E10" s="4">
        <v>15</v>
      </c>
      <c r="F10" s="4">
        <v>15</v>
      </c>
      <c r="G10" s="4">
        <v>15</v>
      </c>
      <c r="H10" s="4">
        <f t="shared" si="0"/>
        <v>15</v>
      </c>
      <c r="I10" s="2" t="s">
        <v>22</v>
      </c>
      <c r="J10" s="2" t="s">
        <v>23</v>
      </c>
      <c r="K10" s="2"/>
      <c r="L10" s="2"/>
      <c r="M10" s="2"/>
    </row>
    <row r="11" spans="1:13" ht="15.75" customHeight="1" x14ac:dyDescent="0.2">
      <c r="B11" s="2" t="s">
        <v>27</v>
      </c>
      <c r="C11" s="2" t="s">
        <v>21</v>
      </c>
      <c r="D11" s="2">
        <v>1</v>
      </c>
      <c r="E11" s="4">
        <v>15</v>
      </c>
      <c r="F11" s="4">
        <v>15</v>
      </c>
      <c r="G11" s="4">
        <v>55</v>
      </c>
      <c r="H11" s="4">
        <f t="shared" si="0"/>
        <v>55</v>
      </c>
      <c r="I11" s="2" t="s">
        <v>22</v>
      </c>
      <c r="J11" s="2" t="s">
        <v>23</v>
      </c>
      <c r="K11" s="2"/>
      <c r="L11" s="2"/>
      <c r="M11" s="2"/>
    </row>
    <row r="12" spans="1:13" ht="15.75" customHeight="1" x14ac:dyDescent="0.2">
      <c r="B12" s="2" t="s">
        <v>28</v>
      </c>
      <c r="C12" s="2" t="s">
        <v>21</v>
      </c>
      <c r="D12" s="2">
        <v>1</v>
      </c>
      <c r="E12" s="4">
        <v>20</v>
      </c>
      <c r="F12" s="4">
        <v>20</v>
      </c>
      <c r="G12" s="4">
        <v>20</v>
      </c>
      <c r="H12" s="4">
        <f t="shared" si="0"/>
        <v>20</v>
      </c>
      <c r="I12" s="2" t="s">
        <v>29</v>
      </c>
      <c r="J12" s="2" t="s">
        <v>23</v>
      </c>
      <c r="K12" s="2"/>
      <c r="M12" s="2"/>
    </row>
    <row r="13" spans="1:13" ht="15.75" customHeight="1" x14ac:dyDescent="0.2">
      <c r="B13" s="2" t="s">
        <v>30</v>
      </c>
      <c r="C13" s="2" t="s">
        <v>31</v>
      </c>
      <c r="D13" s="2">
        <v>1</v>
      </c>
      <c r="E13" s="4">
        <v>19.350000000000001</v>
      </c>
      <c r="F13" s="4">
        <v>19.350000000000001</v>
      </c>
      <c r="G13" s="4">
        <v>15</v>
      </c>
      <c r="H13" s="4">
        <f t="shared" si="0"/>
        <v>15</v>
      </c>
      <c r="I13" s="2" t="s">
        <v>32</v>
      </c>
      <c r="J13" s="2" t="s">
        <v>23</v>
      </c>
      <c r="K13" s="2"/>
      <c r="M13" s="2"/>
    </row>
    <row r="14" spans="1:13" ht="15.75" customHeight="1" x14ac:dyDescent="0.2">
      <c r="B14" s="2" t="s">
        <v>33</v>
      </c>
      <c r="C14" s="2" t="s">
        <v>12</v>
      </c>
      <c r="D14" s="2">
        <v>1</v>
      </c>
      <c r="E14" s="4">
        <v>10</v>
      </c>
      <c r="F14" s="4">
        <v>10</v>
      </c>
      <c r="G14" s="4">
        <v>10</v>
      </c>
      <c r="H14" s="4">
        <f t="shared" si="0"/>
        <v>10</v>
      </c>
      <c r="I14" s="2"/>
      <c r="J14" s="2">
        <v>30</v>
      </c>
      <c r="K14" s="2"/>
      <c r="L14" s="6" t="s">
        <v>34</v>
      </c>
      <c r="M14" s="6" t="s">
        <v>35</v>
      </c>
    </row>
    <row r="15" spans="1:13" ht="15.75" customHeight="1" x14ac:dyDescent="0.2">
      <c r="B15" s="2" t="s">
        <v>36</v>
      </c>
      <c r="C15" s="2" t="s">
        <v>12</v>
      </c>
      <c r="D15" s="2">
        <v>1</v>
      </c>
      <c r="E15" s="4">
        <v>0.4</v>
      </c>
      <c r="F15" s="4">
        <v>0.4</v>
      </c>
      <c r="G15" s="4">
        <v>0.4</v>
      </c>
      <c r="H15" s="4">
        <f t="shared" si="0"/>
        <v>0.4</v>
      </c>
      <c r="I15" s="2"/>
      <c r="J15" s="2"/>
      <c r="K15" s="2"/>
      <c r="L15" s="7" t="s">
        <v>37</v>
      </c>
      <c r="M15" s="2"/>
    </row>
    <row r="16" spans="1:13" ht="15.75" customHeight="1" x14ac:dyDescent="0.2">
      <c r="B16" s="2" t="s">
        <v>38</v>
      </c>
      <c r="C16" s="2" t="s">
        <v>12</v>
      </c>
      <c r="D16" s="2">
        <v>1</v>
      </c>
      <c r="E16" s="4">
        <v>1</v>
      </c>
      <c r="F16" s="4">
        <v>1</v>
      </c>
      <c r="G16" s="4">
        <v>1</v>
      </c>
      <c r="H16" s="4">
        <f t="shared" si="0"/>
        <v>1</v>
      </c>
      <c r="I16" s="2"/>
      <c r="J16" s="2">
        <v>20</v>
      </c>
      <c r="K16" s="2"/>
      <c r="L16" s="7" t="s">
        <v>39</v>
      </c>
      <c r="M16" s="2"/>
    </row>
    <row r="17" spans="2:13" ht="15.75" customHeight="1" x14ac:dyDescent="0.2">
      <c r="B17" s="2" t="s">
        <v>40</v>
      </c>
      <c r="C17" s="2" t="s">
        <v>12</v>
      </c>
      <c r="D17" s="2">
        <v>1</v>
      </c>
      <c r="E17" s="4">
        <v>2.2000000000000002</v>
      </c>
      <c r="F17" s="4">
        <v>2.2000000000000002</v>
      </c>
      <c r="G17" s="4">
        <v>2.2000000000000002</v>
      </c>
      <c r="H17" s="4">
        <f t="shared" si="0"/>
        <v>2.2000000000000002</v>
      </c>
      <c r="I17" s="2"/>
      <c r="J17" s="2"/>
      <c r="K17" s="2"/>
      <c r="L17" s="5" t="s">
        <v>41</v>
      </c>
      <c r="M17" s="2"/>
    </row>
    <row r="18" spans="2:13" ht="15.75" customHeight="1" x14ac:dyDescent="0.2">
      <c r="B18" s="2" t="s">
        <v>42</v>
      </c>
      <c r="C18" s="2" t="s">
        <v>12</v>
      </c>
      <c r="D18" s="2">
        <v>1</v>
      </c>
      <c r="E18" s="4">
        <v>9</v>
      </c>
      <c r="F18" s="4">
        <v>9</v>
      </c>
      <c r="G18" s="4">
        <v>10</v>
      </c>
      <c r="H18" s="4">
        <f t="shared" si="0"/>
        <v>10</v>
      </c>
      <c r="I18" s="2"/>
      <c r="J18" s="2">
        <v>15</v>
      </c>
      <c r="K18" s="2"/>
      <c r="L18" s="5" t="s">
        <v>43</v>
      </c>
      <c r="M18" s="7" t="s">
        <v>44</v>
      </c>
    </row>
    <row r="19" spans="2:13" ht="15.75" customHeight="1" x14ac:dyDescent="0.2">
      <c r="B19" s="2" t="s">
        <v>45</v>
      </c>
      <c r="C19" s="2" t="s">
        <v>12</v>
      </c>
      <c r="D19" s="2">
        <v>1</v>
      </c>
      <c r="E19" s="4">
        <v>0.5</v>
      </c>
      <c r="F19" s="4">
        <v>0.5</v>
      </c>
      <c r="G19" s="4">
        <v>0.5</v>
      </c>
      <c r="H19" s="4">
        <f t="shared" si="0"/>
        <v>0.5</v>
      </c>
      <c r="I19" s="2"/>
      <c r="J19" s="2">
        <v>60</v>
      </c>
      <c r="K19" s="2"/>
      <c r="L19" s="7" t="s">
        <v>46</v>
      </c>
      <c r="M19" s="7" t="s">
        <v>47</v>
      </c>
    </row>
    <row r="20" spans="2:13" ht="15.75" customHeight="1" x14ac:dyDescent="0.2">
      <c r="B20" s="2" t="s">
        <v>48</v>
      </c>
      <c r="C20" s="2" t="s">
        <v>12</v>
      </c>
      <c r="D20" s="2">
        <v>1</v>
      </c>
      <c r="E20" s="4">
        <v>4</v>
      </c>
      <c r="F20" s="4">
        <v>4</v>
      </c>
      <c r="G20" s="4">
        <v>4</v>
      </c>
      <c r="H20" s="4">
        <f t="shared" si="0"/>
        <v>4</v>
      </c>
      <c r="I20" s="2" t="s">
        <v>49</v>
      </c>
      <c r="J20" s="2">
        <v>0</v>
      </c>
      <c r="K20" s="2"/>
      <c r="M20" s="2"/>
    </row>
    <row r="21" spans="2:13" ht="15.75" customHeight="1" x14ac:dyDescent="0.2">
      <c r="B21" s="2" t="s">
        <v>50</v>
      </c>
      <c r="C21" s="2" t="s">
        <v>21</v>
      </c>
      <c r="D21" s="2">
        <v>0.1</v>
      </c>
      <c r="E21" s="4">
        <v>67</v>
      </c>
      <c r="F21" s="4">
        <v>67</v>
      </c>
      <c r="G21" s="4">
        <v>4</v>
      </c>
      <c r="H21" s="4">
        <f t="shared" si="0"/>
        <v>0.4</v>
      </c>
      <c r="I21" s="2"/>
      <c r="J21" s="2">
        <v>20</v>
      </c>
      <c r="K21" s="2"/>
      <c r="L21" s="5" t="s">
        <v>51</v>
      </c>
      <c r="M21" s="2"/>
    </row>
    <row r="22" spans="2:13" ht="15.75" customHeight="1" x14ac:dyDescent="0.2">
      <c r="B22" s="2" t="s">
        <v>52</v>
      </c>
      <c r="C22" s="2" t="s">
        <v>21</v>
      </c>
      <c r="D22" s="2">
        <v>1</v>
      </c>
      <c r="E22" s="4">
        <v>7</v>
      </c>
      <c r="F22" s="4">
        <v>7</v>
      </c>
      <c r="G22" s="4">
        <v>7</v>
      </c>
      <c r="H22" s="4">
        <f t="shared" si="0"/>
        <v>7</v>
      </c>
      <c r="I22" s="2" t="s">
        <v>53</v>
      </c>
      <c r="J22" s="2">
        <v>49</v>
      </c>
      <c r="K22" s="2"/>
      <c r="M22" s="2"/>
    </row>
    <row r="23" spans="2:13" ht="15.75" customHeight="1" x14ac:dyDescent="0.2">
      <c r="B23" s="2" t="s">
        <v>54</v>
      </c>
      <c r="C23" s="2" t="s">
        <v>12</v>
      </c>
      <c r="D23" s="2">
        <v>1</v>
      </c>
      <c r="E23" s="4">
        <v>2</v>
      </c>
      <c r="F23" s="4">
        <v>2</v>
      </c>
      <c r="G23" s="4">
        <v>2</v>
      </c>
      <c r="H23" s="4">
        <f t="shared" si="0"/>
        <v>2</v>
      </c>
      <c r="I23" s="2"/>
      <c r="J23" s="2"/>
      <c r="K23" s="2"/>
      <c r="L23" s="5" t="s">
        <v>55</v>
      </c>
      <c r="M23" s="2"/>
    </row>
    <row r="24" spans="2:13" ht="15.75" customHeight="1" x14ac:dyDescent="0.2">
      <c r="B24" s="2" t="s">
        <v>56</v>
      </c>
      <c r="C24" s="2" t="s">
        <v>12</v>
      </c>
      <c r="D24" s="2">
        <v>1</v>
      </c>
      <c r="E24" s="4">
        <v>2.2000000000000002</v>
      </c>
      <c r="F24" s="4">
        <v>2.2000000000000002</v>
      </c>
      <c r="G24" s="4">
        <v>2.2000000000000002</v>
      </c>
      <c r="H24" s="4">
        <f t="shared" si="0"/>
        <v>2.2000000000000002</v>
      </c>
      <c r="I24" s="2"/>
      <c r="J24" s="2">
        <v>10</v>
      </c>
      <c r="K24" s="2"/>
      <c r="L24" s="7" t="s">
        <v>57</v>
      </c>
      <c r="M24" s="5" t="s">
        <v>58</v>
      </c>
    </row>
    <row r="25" spans="2:13" ht="15.75" customHeight="1" x14ac:dyDescent="0.2">
      <c r="B25" s="2" t="s">
        <v>59</v>
      </c>
      <c r="C25" s="2" t="s">
        <v>12</v>
      </c>
      <c r="D25" s="2">
        <v>2</v>
      </c>
      <c r="E25" s="4">
        <v>2.7</v>
      </c>
      <c r="F25" s="4">
        <v>2.7</v>
      </c>
      <c r="G25" s="4">
        <v>5.4</v>
      </c>
      <c r="H25" s="4">
        <f t="shared" si="0"/>
        <v>10.8</v>
      </c>
      <c r="I25" s="2"/>
      <c r="J25" s="2">
        <v>15</v>
      </c>
      <c r="K25" s="2"/>
      <c r="L25" s="5" t="s">
        <v>60</v>
      </c>
      <c r="M25" s="7" t="s">
        <v>61</v>
      </c>
    </row>
    <row r="26" spans="2:13" ht="15.75" customHeight="1" x14ac:dyDescent="0.2">
      <c r="B26" s="2" t="s">
        <v>62</v>
      </c>
      <c r="C26" s="2" t="s">
        <v>21</v>
      </c>
      <c r="D26" s="2">
        <v>4</v>
      </c>
      <c r="E26" s="4">
        <v>0.45</v>
      </c>
      <c r="F26" s="4">
        <v>0.45</v>
      </c>
      <c r="G26" s="4">
        <v>1.8</v>
      </c>
      <c r="H26" s="4">
        <f t="shared" si="0"/>
        <v>7.2</v>
      </c>
      <c r="I26" s="2"/>
      <c r="J26" s="2"/>
      <c r="K26" s="2"/>
      <c r="L26" s="5" t="s">
        <v>63</v>
      </c>
      <c r="M26" s="2"/>
    </row>
    <row r="27" spans="2:13" ht="15.75" customHeight="1" x14ac:dyDescent="0.2">
      <c r="B27" s="2" t="s">
        <v>64</v>
      </c>
      <c r="C27" s="2" t="s">
        <v>31</v>
      </c>
      <c r="D27" s="2">
        <v>8</v>
      </c>
      <c r="E27" s="4">
        <v>0.14000000000000001</v>
      </c>
      <c r="F27" s="4">
        <v>0.14000000000000001</v>
      </c>
      <c r="G27" s="4">
        <v>0.75</v>
      </c>
      <c r="H27" s="4">
        <f t="shared" si="0"/>
        <v>6</v>
      </c>
      <c r="I27" s="2"/>
      <c r="J27" s="2">
        <v>60</v>
      </c>
      <c r="K27" s="2"/>
      <c r="L27" s="7" t="s">
        <v>65</v>
      </c>
      <c r="M27" s="2"/>
    </row>
    <row r="28" spans="2:13" ht="15.75" customHeight="1" x14ac:dyDescent="0.2">
      <c r="B28" s="2" t="s">
        <v>66</v>
      </c>
      <c r="C28" s="2" t="s">
        <v>12</v>
      </c>
      <c r="D28" s="2">
        <v>10</v>
      </c>
      <c r="E28" s="4">
        <v>0.12</v>
      </c>
      <c r="F28" s="4">
        <v>0.12</v>
      </c>
      <c r="G28" s="4">
        <v>1.2</v>
      </c>
      <c r="H28" s="4">
        <f t="shared" si="0"/>
        <v>12</v>
      </c>
      <c r="I28" s="2"/>
      <c r="J28" s="2">
        <v>50</v>
      </c>
      <c r="K28" s="2"/>
      <c r="L28" s="5" t="s">
        <v>67</v>
      </c>
      <c r="M28" s="5" t="s">
        <v>68</v>
      </c>
    </row>
    <row r="29" spans="2:13" ht="15.75" customHeight="1" x14ac:dyDescent="0.2">
      <c r="B29" s="2" t="s">
        <v>69</v>
      </c>
      <c r="C29" s="2" t="s">
        <v>21</v>
      </c>
      <c r="D29" s="2">
        <v>1</v>
      </c>
      <c r="E29" s="4">
        <v>1.79</v>
      </c>
      <c r="F29" s="4">
        <v>1.79</v>
      </c>
      <c r="G29" s="4">
        <v>1.79</v>
      </c>
      <c r="H29" s="4">
        <f t="shared" si="0"/>
        <v>1.79</v>
      </c>
      <c r="I29" s="2" t="s">
        <v>29</v>
      </c>
      <c r="J29" s="2" t="s">
        <v>23</v>
      </c>
      <c r="K29" s="2"/>
      <c r="M29" s="2"/>
    </row>
    <row r="30" spans="2:13" ht="15.75" customHeight="1" x14ac:dyDescent="0.2">
      <c r="B30" s="8" t="s">
        <v>70</v>
      </c>
      <c r="C30" s="8" t="s">
        <v>12</v>
      </c>
      <c r="D30" s="8">
        <v>1</v>
      </c>
      <c r="E30" s="9">
        <v>10</v>
      </c>
      <c r="F30" s="9">
        <v>10</v>
      </c>
      <c r="G30" s="9">
        <v>10</v>
      </c>
      <c r="H30" s="4">
        <f t="shared" si="0"/>
        <v>10</v>
      </c>
      <c r="I30" s="8" t="s">
        <v>71</v>
      </c>
      <c r="J30" s="8" t="s">
        <v>23</v>
      </c>
      <c r="K30" s="8"/>
      <c r="L30" s="8"/>
      <c r="M30" s="8"/>
    </row>
    <row r="31" spans="2:13" ht="15.75" customHeight="1" x14ac:dyDescent="0.2">
      <c r="B31" s="8" t="s">
        <v>72</v>
      </c>
      <c r="C31" s="8" t="s">
        <v>12</v>
      </c>
      <c r="D31" s="8">
        <v>1</v>
      </c>
      <c r="E31" s="9">
        <v>13.69</v>
      </c>
      <c r="F31" s="9">
        <v>13.69</v>
      </c>
      <c r="G31" s="9">
        <v>13.69</v>
      </c>
      <c r="H31" s="4">
        <f t="shared" si="0"/>
        <v>13.69</v>
      </c>
      <c r="I31" s="8"/>
      <c r="J31" s="8"/>
      <c r="K31" s="8"/>
      <c r="L31" s="10" t="s">
        <v>73</v>
      </c>
      <c r="M31" s="8"/>
    </row>
    <row r="32" spans="2:13" ht="15.75" customHeight="1" x14ac:dyDescent="0.15">
      <c r="B32" s="1"/>
      <c r="C32" s="1"/>
      <c r="D32" s="1"/>
      <c r="E32" s="11" t="s">
        <v>74</v>
      </c>
      <c r="F32" s="12"/>
      <c r="G32" s="12"/>
      <c r="H32" s="12">
        <f>SUM(H3:H31)</f>
        <v>414.17999999999995</v>
      </c>
      <c r="I32" s="3"/>
      <c r="J32" s="3"/>
      <c r="K32" s="3"/>
      <c r="L32" s="3"/>
      <c r="M32" s="3"/>
    </row>
    <row r="33" spans="2:13" ht="15.75" customHeight="1" x14ac:dyDescent="0.15">
      <c r="B33" s="3"/>
      <c r="C33" s="3"/>
      <c r="D33" s="3"/>
      <c r="E33" s="11"/>
      <c r="F33" s="11"/>
      <c r="G33" s="11"/>
      <c r="H33" s="12"/>
      <c r="I33" s="3"/>
      <c r="J33" s="3"/>
      <c r="K33" s="3"/>
      <c r="L33" s="3"/>
      <c r="M33" s="3"/>
    </row>
    <row r="34" spans="2:13" ht="15.75" customHeight="1" x14ac:dyDescent="0.15"/>
    <row r="35" spans="2:13" ht="15.75" customHeight="1" x14ac:dyDescent="0.15"/>
    <row r="36" spans="2:13" ht="15.75" customHeight="1" x14ac:dyDescent="0.15"/>
    <row r="37" spans="2:13" ht="15.75" customHeight="1" x14ac:dyDescent="0.15"/>
    <row r="38" spans="2:13" ht="15.75" customHeight="1" x14ac:dyDescent="0.15"/>
    <row r="39" spans="2:13" ht="15.75" customHeight="1" x14ac:dyDescent="0.15"/>
    <row r="40" spans="2:13" ht="15.75" customHeight="1" x14ac:dyDescent="0.15"/>
    <row r="41" spans="2:13" ht="15.75" customHeight="1" x14ac:dyDescent="0.15"/>
    <row r="42" spans="2:13" ht="15.75" customHeight="1" x14ac:dyDescent="0.15"/>
    <row r="43" spans="2:13" ht="15.75" customHeight="1" x14ac:dyDescent="0.15"/>
    <row r="44" spans="2:13" ht="15.75" customHeight="1" x14ac:dyDescent="0.15"/>
    <row r="45" spans="2:13" ht="15.75" customHeight="1" x14ac:dyDescent="0.15"/>
    <row r="46" spans="2:13" ht="15.75" customHeight="1" x14ac:dyDescent="0.15"/>
    <row r="47" spans="2:13" ht="15.75" customHeight="1" x14ac:dyDescent="0.15"/>
    <row r="48" spans="2:13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</sheetData>
  <dataValidations count="1">
    <dataValidation type="list" allowBlank="1" showErrorMessage="1" sqref="A1" xr:uid="{00000000-0002-0000-0000-000000000000}">
      <formula1>"Opción 1,Opción 2"</formula1>
    </dataValidation>
  </dataValidations>
  <hyperlinks>
    <hyperlink ref="L4" r:id="rId1" xr:uid="{00000000-0004-0000-0000-000000000000}"/>
    <hyperlink ref="L8" r:id="rId2" xr:uid="{00000000-0004-0000-0000-000001000000}"/>
    <hyperlink ref="L9" r:id="rId3" xr:uid="{00000000-0004-0000-0000-000002000000}"/>
    <hyperlink ref="L14" r:id="rId4" xr:uid="{00000000-0004-0000-0000-000003000000}"/>
    <hyperlink ref="M14" r:id="rId5" xr:uid="{00000000-0004-0000-0000-000004000000}"/>
    <hyperlink ref="L15" r:id="rId6" xr:uid="{00000000-0004-0000-0000-000005000000}"/>
    <hyperlink ref="L16" r:id="rId7" xr:uid="{00000000-0004-0000-0000-000006000000}"/>
    <hyperlink ref="L17" r:id="rId8" xr:uid="{00000000-0004-0000-0000-000007000000}"/>
    <hyperlink ref="L18" r:id="rId9" xr:uid="{00000000-0004-0000-0000-000008000000}"/>
    <hyperlink ref="M18" r:id="rId10" xr:uid="{00000000-0004-0000-0000-000009000000}"/>
    <hyperlink ref="L19" r:id="rId11" xr:uid="{00000000-0004-0000-0000-00000A000000}"/>
    <hyperlink ref="M19" r:id="rId12" xr:uid="{00000000-0004-0000-0000-00000B000000}"/>
    <hyperlink ref="L21" r:id="rId13" xr:uid="{00000000-0004-0000-0000-00000C000000}"/>
    <hyperlink ref="L23" r:id="rId14" xr:uid="{00000000-0004-0000-0000-00000D000000}"/>
    <hyperlink ref="L24" r:id="rId15" xr:uid="{00000000-0004-0000-0000-00000E000000}"/>
    <hyperlink ref="M24" r:id="rId16" xr:uid="{00000000-0004-0000-0000-00000F000000}"/>
    <hyperlink ref="L25" r:id="rId17" xr:uid="{00000000-0004-0000-0000-000010000000}"/>
    <hyperlink ref="M25" r:id="rId18" xr:uid="{00000000-0004-0000-0000-000011000000}"/>
    <hyperlink ref="L26" r:id="rId19" xr:uid="{00000000-0004-0000-0000-000012000000}"/>
    <hyperlink ref="L27" r:id="rId20" xr:uid="{00000000-0004-0000-0000-000013000000}"/>
    <hyperlink ref="L28" r:id="rId21" xr:uid="{00000000-0004-0000-0000-000014000000}"/>
    <hyperlink ref="M28" r:id="rId22" xr:uid="{00000000-0004-0000-0000-000015000000}"/>
    <hyperlink ref="L31" r:id="rId23" xr:uid="{00000000-0004-0000-0000-000016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C1:M1000"/>
  <sheetViews>
    <sheetView workbookViewId="0"/>
  </sheetViews>
  <sheetFormatPr baseColWidth="10" defaultColWidth="12.6640625" defaultRowHeight="15" customHeight="1" x14ac:dyDescent="0.15"/>
  <cols>
    <col min="1" max="2" width="12.6640625" customWidth="1"/>
    <col min="3" max="3" width="20.6640625" customWidth="1"/>
    <col min="4" max="4" width="35.33203125" customWidth="1"/>
    <col min="5" max="5" width="16.33203125" customWidth="1"/>
    <col min="6" max="6" width="12.6640625" customWidth="1"/>
    <col min="12" max="12" width="15" customWidth="1"/>
  </cols>
  <sheetData>
    <row r="1" spans="3:13" ht="15.75" customHeight="1" x14ac:dyDescent="0.15"/>
    <row r="2" spans="3:13" ht="15.75" customHeight="1" x14ac:dyDescent="0.2">
      <c r="C2" s="13" t="s">
        <v>75</v>
      </c>
      <c r="D2" s="13" t="s">
        <v>76</v>
      </c>
      <c r="E2" s="13" t="s">
        <v>77</v>
      </c>
      <c r="F2" s="13" t="s">
        <v>78</v>
      </c>
      <c r="G2" s="13" t="s">
        <v>79</v>
      </c>
      <c r="H2" s="13" t="s">
        <v>80</v>
      </c>
      <c r="I2" s="13" t="s">
        <v>81</v>
      </c>
      <c r="J2" s="13" t="s">
        <v>82</v>
      </c>
      <c r="K2" s="13" t="s">
        <v>83</v>
      </c>
      <c r="L2" s="13" t="s">
        <v>84</v>
      </c>
      <c r="M2" s="13" t="s">
        <v>85</v>
      </c>
    </row>
    <row r="3" spans="3:13" ht="15.75" customHeight="1" x14ac:dyDescent="0.15">
      <c r="C3" s="14" t="s">
        <v>86</v>
      </c>
      <c r="D3" s="14" t="s">
        <v>87</v>
      </c>
      <c r="E3" s="14" t="s">
        <v>88</v>
      </c>
      <c r="F3" s="14">
        <v>15</v>
      </c>
      <c r="G3" s="14">
        <v>40</v>
      </c>
      <c r="H3" s="14">
        <v>1</v>
      </c>
      <c r="I3" s="14" t="s">
        <v>89</v>
      </c>
      <c r="J3" s="14" t="s">
        <v>90</v>
      </c>
      <c r="K3" s="14">
        <v>2.5</v>
      </c>
      <c r="L3" s="14" t="s">
        <v>91</v>
      </c>
      <c r="M3" s="14" t="s">
        <v>92</v>
      </c>
    </row>
    <row r="4" spans="3:13" ht="15.75" customHeight="1" x14ac:dyDescent="0.15">
      <c r="C4" s="3"/>
      <c r="D4" s="3"/>
      <c r="E4" s="14" t="s">
        <v>88</v>
      </c>
      <c r="F4" s="14">
        <v>15</v>
      </c>
      <c r="G4" s="14">
        <v>40</v>
      </c>
      <c r="H4" s="14">
        <v>2</v>
      </c>
      <c r="I4" s="14" t="s">
        <v>93</v>
      </c>
      <c r="J4" s="14" t="s">
        <v>94</v>
      </c>
      <c r="K4" s="14">
        <v>2.5</v>
      </c>
      <c r="L4" s="14" t="s">
        <v>91</v>
      </c>
      <c r="M4" s="14" t="s">
        <v>92</v>
      </c>
    </row>
    <row r="5" spans="3:13" ht="15.75" customHeight="1" x14ac:dyDescent="0.15"/>
    <row r="6" spans="3:13" ht="15.75" customHeight="1" x14ac:dyDescent="0.2">
      <c r="C6" s="13" t="s">
        <v>75</v>
      </c>
      <c r="D6" s="13" t="s">
        <v>76</v>
      </c>
      <c r="E6" s="13" t="s">
        <v>77</v>
      </c>
      <c r="F6" s="13" t="s">
        <v>78</v>
      </c>
      <c r="G6" s="13" t="s">
        <v>79</v>
      </c>
      <c r="H6" s="13" t="s">
        <v>80</v>
      </c>
      <c r="I6" s="13" t="s">
        <v>81</v>
      </c>
      <c r="J6" s="13" t="s">
        <v>82</v>
      </c>
      <c r="K6" s="13" t="s">
        <v>95</v>
      </c>
      <c r="L6" s="13" t="s">
        <v>84</v>
      </c>
      <c r="M6" s="13" t="s">
        <v>85</v>
      </c>
    </row>
    <row r="7" spans="3:13" ht="15.75" customHeight="1" x14ac:dyDescent="0.15">
      <c r="C7" s="14" t="s">
        <v>96</v>
      </c>
      <c r="D7" s="14" t="s">
        <v>87</v>
      </c>
      <c r="E7" s="14" t="s">
        <v>88</v>
      </c>
      <c r="F7" s="14">
        <v>1</v>
      </c>
      <c r="G7" s="14">
        <v>40</v>
      </c>
      <c r="H7" s="14">
        <v>1</v>
      </c>
      <c r="I7" s="14" t="s">
        <v>89</v>
      </c>
      <c r="J7" s="14" t="s">
        <v>90</v>
      </c>
      <c r="K7" s="14">
        <v>0.5</v>
      </c>
      <c r="L7" s="14" t="s">
        <v>97</v>
      </c>
      <c r="M7" s="14" t="s">
        <v>92</v>
      </c>
    </row>
    <row r="8" spans="3:13" ht="15.75" customHeight="1" x14ac:dyDescent="0.15">
      <c r="C8" s="3"/>
      <c r="D8" s="3"/>
      <c r="E8" s="14" t="s">
        <v>88</v>
      </c>
      <c r="F8" s="14">
        <v>1</v>
      </c>
      <c r="G8" s="14">
        <v>40</v>
      </c>
      <c r="H8" s="14">
        <v>2</v>
      </c>
      <c r="I8" s="14" t="s">
        <v>93</v>
      </c>
      <c r="J8" s="14" t="s">
        <v>94</v>
      </c>
      <c r="K8" s="14">
        <v>0.5</v>
      </c>
      <c r="L8" s="14" t="s">
        <v>97</v>
      </c>
      <c r="M8" s="14" t="s">
        <v>92</v>
      </c>
    </row>
    <row r="9" spans="3:13" ht="15.75" customHeight="1" x14ac:dyDescent="0.15"/>
    <row r="10" spans="3:13" ht="15.75" customHeight="1" x14ac:dyDescent="0.2">
      <c r="C10" s="13" t="s">
        <v>75</v>
      </c>
      <c r="D10" s="13" t="s">
        <v>76</v>
      </c>
      <c r="E10" s="13" t="s">
        <v>77</v>
      </c>
      <c r="F10" s="13" t="s">
        <v>78</v>
      </c>
      <c r="G10" s="13" t="s">
        <v>79</v>
      </c>
      <c r="H10" s="13" t="s">
        <v>80</v>
      </c>
      <c r="I10" s="13" t="s">
        <v>81</v>
      </c>
      <c r="J10" s="13" t="s">
        <v>82</v>
      </c>
      <c r="K10" s="13" t="s">
        <v>95</v>
      </c>
      <c r="L10" s="13" t="s">
        <v>84</v>
      </c>
      <c r="M10" s="13" t="s">
        <v>85</v>
      </c>
    </row>
    <row r="11" spans="3:13" ht="15.75" customHeight="1" x14ac:dyDescent="0.15">
      <c r="C11" s="14" t="s">
        <v>98</v>
      </c>
      <c r="D11" s="14" t="s">
        <v>99</v>
      </c>
      <c r="E11" s="14" t="s">
        <v>100</v>
      </c>
      <c r="F11" s="14">
        <v>0.75</v>
      </c>
      <c r="G11" s="14">
        <v>10</v>
      </c>
      <c r="H11" s="14">
        <v>1</v>
      </c>
      <c r="I11" s="14" t="s">
        <v>101</v>
      </c>
      <c r="J11" s="14" t="s">
        <v>102</v>
      </c>
      <c r="K11" s="14">
        <v>0.5</v>
      </c>
      <c r="L11" s="14" t="s">
        <v>91</v>
      </c>
      <c r="M11" s="14" t="s">
        <v>103</v>
      </c>
    </row>
    <row r="12" spans="3:13" ht="15.75" customHeight="1" x14ac:dyDescent="0.15">
      <c r="C12" s="3"/>
      <c r="D12" s="3"/>
      <c r="E12" s="14" t="s">
        <v>100</v>
      </c>
      <c r="F12" s="14">
        <v>0.75</v>
      </c>
      <c r="G12" s="14">
        <v>10</v>
      </c>
      <c r="H12" s="14">
        <v>2</v>
      </c>
      <c r="I12" s="14" t="s">
        <v>104</v>
      </c>
      <c r="J12" s="14" t="s">
        <v>105</v>
      </c>
      <c r="K12" s="14">
        <v>0.5</v>
      </c>
      <c r="L12" s="14" t="s">
        <v>91</v>
      </c>
      <c r="M12" s="14" t="s">
        <v>103</v>
      </c>
    </row>
    <row r="13" spans="3:13" ht="15.75" customHeight="1" x14ac:dyDescent="0.15">
      <c r="C13" s="3"/>
      <c r="D13" s="3"/>
      <c r="E13" s="14" t="s">
        <v>23</v>
      </c>
      <c r="F13" s="14"/>
      <c r="G13" s="14">
        <v>10</v>
      </c>
      <c r="H13" s="14">
        <v>3</v>
      </c>
      <c r="I13" s="14" t="s">
        <v>106</v>
      </c>
      <c r="J13" s="14" t="s">
        <v>107</v>
      </c>
      <c r="K13" s="14">
        <v>0.5</v>
      </c>
      <c r="L13" s="14" t="s">
        <v>91</v>
      </c>
      <c r="M13" s="14" t="s">
        <v>103</v>
      </c>
    </row>
    <row r="14" spans="3:13" ht="15.75" customHeight="1" x14ac:dyDescent="0.15"/>
    <row r="15" spans="3:13" ht="15.75" customHeight="1" x14ac:dyDescent="0.2">
      <c r="C15" s="13" t="s">
        <v>75</v>
      </c>
      <c r="D15" s="13" t="s">
        <v>76</v>
      </c>
      <c r="E15" s="13" t="s">
        <v>77</v>
      </c>
      <c r="F15" s="13" t="s">
        <v>78</v>
      </c>
      <c r="G15" s="13" t="s">
        <v>79</v>
      </c>
      <c r="H15" s="13" t="s">
        <v>80</v>
      </c>
      <c r="I15" s="13" t="s">
        <v>81</v>
      </c>
      <c r="J15" s="13" t="s">
        <v>82</v>
      </c>
      <c r="K15" s="13" t="s">
        <v>95</v>
      </c>
      <c r="L15" s="13" t="s">
        <v>84</v>
      </c>
      <c r="M15" s="13" t="s">
        <v>85</v>
      </c>
    </row>
    <row r="16" spans="3:13" ht="15.75" customHeight="1" x14ac:dyDescent="0.15">
      <c r="C16" s="14" t="s">
        <v>108</v>
      </c>
      <c r="D16" s="14" t="s">
        <v>109</v>
      </c>
      <c r="E16" s="14" t="s">
        <v>110</v>
      </c>
      <c r="F16" s="14">
        <v>0.75</v>
      </c>
      <c r="G16" s="14">
        <v>180</v>
      </c>
      <c r="H16" s="14" t="s">
        <v>23</v>
      </c>
      <c r="I16" s="14" t="s">
        <v>23</v>
      </c>
      <c r="J16" s="14" t="s">
        <v>23</v>
      </c>
      <c r="K16" s="14" t="s">
        <v>23</v>
      </c>
      <c r="L16" s="14" t="s">
        <v>111</v>
      </c>
      <c r="M16" s="14" t="s">
        <v>112</v>
      </c>
    </row>
    <row r="17" spans="3:13" ht="15.75" customHeight="1" x14ac:dyDescent="0.15"/>
    <row r="18" spans="3:13" ht="15.75" customHeight="1" x14ac:dyDescent="0.2">
      <c r="C18" s="13" t="s">
        <v>75</v>
      </c>
      <c r="D18" s="13" t="s">
        <v>76</v>
      </c>
      <c r="E18" s="13" t="s">
        <v>77</v>
      </c>
      <c r="F18" s="13" t="s">
        <v>78</v>
      </c>
      <c r="G18" s="13" t="s">
        <v>79</v>
      </c>
      <c r="H18" s="13" t="s">
        <v>80</v>
      </c>
      <c r="I18" s="13" t="s">
        <v>81</v>
      </c>
      <c r="J18" s="13" t="s">
        <v>82</v>
      </c>
      <c r="K18" s="13" t="s">
        <v>95</v>
      </c>
      <c r="L18" s="13" t="s">
        <v>84</v>
      </c>
      <c r="M18" s="13" t="s">
        <v>85</v>
      </c>
    </row>
    <row r="19" spans="3:13" ht="15.75" customHeight="1" x14ac:dyDescent="0.15">
      <c r="C19" s="14" t="s">
        <v>113</v>
      </c>
      <c r="D19" s="14" t="s">
        <v>114</v>
      </c>
      <c r="E19" s="14" t="s">
        <v>115</v>
      </c>
      <c r="F19" s="14">
        <v>0.4</v>
      </c>
      <c r="G19" s="14">
        <v>100</v>
      </c>
      <c r="H19" s="14" t="s">
        <v>23</v>
      </c>
      <c r="I19" s="14" t="s">
        <v>23</v>
      </c>
      <c r="J19" s="14" t="s">
        <v>23</v>
      </c>
      <c r="K19" s="14" t="s">
        <v>23</v>
      </c>
      <c r="L19" s="14" t="s">
        <v>23</v>
      </c>
      <c r="M19" s="14" t="s">
        <v>23</v>
      </c>
    </row>
    <row r="20" spans="3:13" ht="15.75" customHeight="1" x14ac:dyDescent="0.15"/>
    <row r="21" spans="3:13" ht="15.75" customHeight="1" x14ac:dyDescent="0.2">
      <c r="C21" s="13" t="s">
        <v>75</v>
      </c>
      <c r="D21" s="13" t="s">
        <v>76</v>
      </c>
      <c r="E21" s="13" t="s">
        <v>77</v>
      </c>
      <c r="F21" s="13" t="s">
        <v>78</v>
      </c>
      <c r="G21" s="13" t="s">
        <v>79</v>
      </c>
      <c r="H21" s="13" t="s">
        <v>80</v>
      </c>
      <c r="I21" s="13" t="s">
        <v>81</v>
      </c>
      <c r="J21" s="13" t="s">
        <v>82</v>
      </c>
      <c r="K21" s="13" t="s">
        <v>95</v>
      </c>
      <c r="L21" s="13" t="s">
        <v>84</v>
      </c>
      <c r="M21" s="13" t="s">
        <v>85</v>
      </c>
    </row>
    <row r="22" spans="3:13" ht="15.75" customHeight="1" x14ac:dyDescent="0.15">
      <c r="C22" s="14" t="s">
        <v>116</v>
      </c>
      <c r="D22" s="14" t="s">
        <v>114</v>
      </c>
      <c r="E22" s="14" t="s">
        <v>115</v>
      </c>
      <c r="F22" s="14">
        <v>0.4</v>
      </c>
      <c r="G22" s="14">
        <v>100</v>
      </c>
      <c r="H22" s="14" t="s">
        <v>23</v>
      </c>
      <c r="I22" s="14" t="s">
        <v>23</v>
      </c>
      <c r="J22" s="14" t="s">
        <v>23</v>
      </c>
      <c r="K22" s="14" t="s">
        <v>23</v>
      </c>
      <c r="L22" s="14" t="s">
        <v>23</v>
      </c>
      <c r="M22" s="14" t="s">
        <v>23</v>
      </c>
    </row>
    <row r="23" spans="3:13" ht="15.75" customHeight="1" x14ac:dyDescent="0.15"/>
    <row r="24" spans="3:13" ht="15.75" customHeight="1" x14ac:dyDescent="0.15"/>
    <row r="25" spans="3:13" ht="15.75" customHeight="1" x14ac:dyDescent="0.15"/>
    <row r="26" spans="3:13" ht="15.75" customHeight="1" x14ac:dyDescent="0.15"/>
    <row r="27" spans="3:13" ht="15.75" customHeight="1" x14ac:dyDescent="0.15"/>
    <row r="28" spans="3:13" ht="15.75" customHeight="1" x14ac:dyDescent="0.15"/>
    <row r="29" spans="3:13" ht="15.75" customHeight="1" x14ac:dyDescent="0.15"/>
    <row r="30" spans="3:13" ht="15.75" customHeight="1" x14ac:dyDescent="0.15"/>
    <row r="31" spans="3:13" ht="15.75" customHeight="1" x14ac:dyDescent="0.15"/>
    <row r="32" spans="3:13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E1000"/>
  <sheetViews>
    <sheetView workbookViewId="0"/>
  </sheetViews>
  <sheetFormatPr baseColWidth="10" defaultColWidth="12.6640625" defaultRowHeight="15" customHeight="1" x14ac:dyDescent="0.15"/>
  <cols>
    <col min="1" max="6" width="12.6640625" customWidth="1"/>
  </cols>
  <sheetData>
    <row r="1" spans="2:5" ht="15.75" customHeight="1" x14ac:dyDescent="0.15"/>
    <row r="2" spans="2:5" ht="15.75" customHeight="1" x14ac:dyDescent="0.15">
      <c r="C2" s="3" t="s">
        <v>117</v>
      </c>
      <c r="D2" s="3" t="s">
        <v>118</v>
      </c>
      <c r="E2" s="3" t="s">
        <v>119</v>
      </c>
    </row>
    <row r="3" spans="2:5" ht="15.75" customHeight="1" x14ac:dyDescent="0.15">
      <c r="B3" s="3" t="s">
        <v>120</v>
      </c>
      <c r="C3" s="3">
        <v>6</v>
      </c>
      <c r="D3" s="3">
        <v>80</v>
      </c>
      <c r="E3" s="3">
        <v>480</v>
      </c>
    </row>
    <row r="4" spans="2:5" ht="15.75" customHeight="1" x14ac:dyDescent="0.15">
      <c r="B4" s="3" t="s">
        <v>121</v>
      </c>
      <c r="C4" s="3">
        <v>1</v>
      </c>
      <c r="D4" s="3">
        <v>60</v>
      </c>
      <c r="E4" s="3">
        <v>60</v>
      </c>
    </row>
    <row r="5" spans="2:5" ht="15.75" customHeight="1" x14ac:dyDescent="0.15">
      <c r="B5" s="3" t="s">
        <v>122</v>
      </c>
      <c r="C5" s="3">
        <v>2</v>
      </c>
      <c r="D5" s="3">
        <v>60</v>
      </c>
      <c r="E5" s="3">
        <v>120</v>
      </c>
    </row>
    <row r="6" spans="2:5" ht="15.75" customHeight="1" x14ac:dyDescent="0.15">
      <c r="B6" s="3" t="s">
        <v>123</v>
      </c>
      <c r="C6" s="3">
        <v>1</v>
      </c>
      <c r="D6" s="3">
        <v>60</v>
      </c>
      <c r="E6" s="3">
        <v>60</v>
      </c>
    </row>
    <row r="7" spans="2:5" ht="15.75" customHeight="1" x14ac:dyDescent="0.15">
      <c r="B7" s="3" t="s">
        <v>124</v>
      </c>
      <c r="C7" s="3">
        <v>1</v>
      </c>
      <c r="D7" s="3">
        <v>60</v>
      </c>
      <c r="E7" s="3">
        <v>60</v>
      </c>
    </row>
    <row r="8" spans="2:5" ht="15.75" customHeight="1" x14ac:dyDescent="0.15">
      <c r="B8" s="3" t="s">
        <v>125</v>
      </c>
      <c r="E8" s="3">
        <v>780</v>
      </c>
    </row>
    <row r="9" spans="2:5" ht="15.75" customHeight="1" x14ac:dyDescent="0.15"/>
    <row r="10" spans="2:5" ht="15.75" customHeight="1" x14ac:dyDescent="0.15">
      <c r="B10" s="3" t="s">
        <v>126</v>
      </c>
    </row>
    <row r="11" spans="2:5" ht="15.75" customHeight="1" x14ac:dyDescent="0.15">
      <c r="B11" s="3" t="s">
        <v>127</v>
      </c>
    </row>
    <row r="12" spans="2:5" ht="15.75" customHeight="1" x14ac:dyDescent="0.15">
      <c r="B12" s="3" t="s">
        <v>128</v>
      </c>
    </row>
    <row r="13" spans="2:5" ht="15.75" customHeight="1" x14ac:dyDescent="0.15">
      <c r="B13" s="3" t="s">
        <v>129</v>
      </c>
    </row>
    <row r="14" spans="2:5" ht="15.75" customHeight="1" x14ac:dyDescent="0.15"/>
    <row r="15" spans="2:5" ht="15.75" customHeight="1" x14ac:dyDescent="0.15"/>
    <row r="16" spans="2:5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 Assembly</vt:lpstr>
      <vt:lpstr>Cables</vt:lpstr>
      <vt:lpstr>Workforce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de Huerta Mezquita</cp:lastModifiedBy>
  <dcterms:created xsi:type="dcterms:W3CDTF">2026-02-22T10:57:34Z</dcterms:created>
  <dcterms:modified xsi:type="dcterms:W3CDTF">2026-02-22T10:57:35Z</dcterms:modified>
</cp:coreProperties>
</file>