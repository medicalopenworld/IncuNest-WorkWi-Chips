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Assembly" sheetId="1" r:id="rId4"/>
    <sheet state="visible" name="Cables" sheetId="2" r:id="rId5"/>
    <sheet state="visible" name="Workforce" sheetId="3" r:id="rId6"/>
  </sheets>
  <definedNames/>
  <calcPr/>
  <extLst>
    <ext uri="GoogleSheetsCustomDataVersion2">
      <go:sheetsCustomData xmlns:go="http://customooxmlschemas.google.com/" r:id="rId7" roundtripDataChecksum="2QcJwuIt0sZqqqUF+DnYgWdYcODs7lTkSLFbYLAR2Os="/>
    </ext>
  </extLst>
</workbook>
</file>

<file path=xl/sharedStrings.xml><?xml version="1.0" encoding="utf-8"?>
<sst xmlns="http://schemas.openxmlformats.org/spreadsheetml/2006/main" count="265" uniqueCount="130">
  <si>
    <t>Parte</t>
  </si>
  <si>
    <t>Cantidad</t>
  </si>
  <si>
    <t>Precio unitario 2023</t>
  </si>
  <si>
    <t>Precio unitario 2024</t>
  </si>
  <si>
    <t>Precio unitario 2025</t>
  </si>
  <si>
    <t>Precio total</t>
  </si>
  <si>
    <t>Proveedor</t>
  </si>
  <si>
    <t>Stock Pablo</t>
  </si>
  <si>
    <t>Stock Salesianos Pamplona</t>
  </si>
  <si>
    <t>Link compra</t>
  </si>
  <si>
    <t>Link compra urgente</t>
  </si>
  <si>
    <t>PCBA (Placa electrónica)</t>
  </si>
  <si>
    <t>Electrónica</t>
  </si>
  <si>
    <t>JLCPCB</t>
  </si>
  <si>
    <t>Display</t>
  </si>
  <si>
    <t>Elecrow</t>
  </si>
  <si>
    <t>https://www.elecrow.com/esp32-display-7-inch-hmi-display-rgb-tft-lcd-touch-screen-support-lvgl.html</t>
  </si>
  <si>
    <t>Humidificador (placa electrónica)</t>
  </si>
  <si>
    <t>Sensor aire USB</t>
  </si>
  <si>
    <t>Placa LED</t>
  </si>
  <si>
    <t>PLACA POLIETILENO BLANCO 2000 X 1000 X 10 EN PE-300</t>
  </si>
  <si>
    <t>Estructura</t>
  </si>
  <si>
    <t>BRONZAKU</t>
  </si>
  <si>
    <t>-</t>
  </si>
  <si>
    <t>https://www.alibaba.com/product-detail/HDPE-plastic-sheet-PE300-PE500-PE1000_60164991050.html?spm=a2756.order-detail-ta-ta-b.0.0.2b882fc2Mw4oMA</t>
  </si>
  <si>
    <t>PLACA POLIETILENO BLANCO 2000 X 1000 X 5 EN PE-300</t>
  </si>
  <si>
    <t>PLACA PETG 1250 X 2050 X 0.8 mm</t>
  </si>
  <si>
    <t>PLACA METACRILATO 1250 X 2050 X 5 mm</t>
  </si>
  <si>
    <t>Tornilleria INOX + Varillas</t>
  </si>
  <si>
    <t>IRIGARAY Noain</t>
  </si>
  <si>
    <t>Impresión 3D (PLA + PETG + FLEX)</t>
  </si>
  <si>
    <t>Impresión 3D</t>
  </si>
  <si>
    <t>Mtorres</t>
  </si>
  <si>
    <t>Calefactor</t>
  </si>
  <si>
    <t>https://www.alibaba.com/product-detail/VSEC-Low-voltage-12V24V-60x60with-fan_1600374482236.html?spm=a2756.order-detail-ta-ta-b.0.0.40a62fc20UwsCh</t>
  </si>
  <si>
    <t>https://www.amazon.es/Fdit-Desodorante-Calefacci%C3%B3n-Calentamiento-Temperatura/dp/B07JNVD6S6/ref=sr_1_3?__mk_es_ES=%C3%85M%C3%85%C5%BD%C3%95%C3%91&amp;crid=YDM1FBK7BDOV&amp;keywords=heater%2B12v%2B100w&amp;qid=1654693558&amp;sprefix=heater%2B12v%2B100w%2Caps%2C68&amp;sr=8-3&amp;th=1</t>
  </si>
  <si>
    <t>Piezoeléctrico humidificador</t>
  </si>
  <si>
    <t>https://es.aliexpress.com/item/1005003789313581.html?spm=a2g0o.cart.0.0.50ce7a9dTFwLzm&amp;mp=1&amp;gatewayAdapt=glo2esp</t>
  </si>
  <si>
    <t>Muelle humidificador (0.4x7-8-15x8mm)</t>
  </si>
  <si>
    <t>https://www.aliexpress.com/item/33003878267.html?spm=a2g0o.order_detail.0.0.792df19cCr9aQH</t>
  </si>
  <si>
    <t>6025 55.3x25mm Frameless DC 12V 24V cooling fan + 30CM cable 3 pin</t>
  </si>
  <si>
    <t>https://www.alibaba.com/product-detail/High-Performance-12v-2-16w-Dc_1600604080724.html?spm=a2700.shop_plgr.41413.2.7805618eA9gtX5</t>
  </si>
  <si>
    <t>Fuente alimentación 12V (20A minimo)</t>
  </si>
  <si>
    <t>https://www.alibaba.com/product-detail/SOMPOM-AC-to-DC-Open-Frame_1600640688827.html?spm=a2756.order-detail-ta-ta-b.0.0.50692fc2xTnmpw</t>
  </si>
  <si>
    <t>https://www.amazon.es/gp/product/B01MRSAT39/ref=ppx_yo_dt_b_asin_image_o06_s00?ie=UTF8&amp;psc=1</t>
  </si>
  <si>
    <t>Sensor temperatura NTC</t>
  </si>
  <si>
    <t>https://www.aliexpress.com/item/32215916414.html?spm=a2g0o.order_list.0.0.21ef1802eLpalY</t>
  </si>
  <si>
    <t>https://www.amazon.es/sensores-temperatura-impermeables-sensor-precisi%C3%B3n/dp/B07Y1TRBS2/ref=sr_1_6?__mk_es_ES=%C3%85M%C3%85%C5%BD%C3%95%C3%91&amp;crid=1I2O06NOAQRBO&amp;keywords=sensor+temperatura+ntc+1m&amp;qid=1654694069&amp;sprefix=sensor+temperatura+ntc+1m%2Caps%2C88&amp;sr=8-6</t>
  </si>
  <si>
    <t>Cableado + terminales</t>
  </si>
  <si>
    <t>CEBB cableados</t>
  </si>
  <si>
    <t>Colchon antiescaras</t>
  </si>
  <si>
    <t>https://www.amazon.es/dp/B081FD5YPQ?psc=1&amp;smid=AI8QHMGPGEF9A&amp;ref_=chk_typ_imgToDp</t>
  </si>
  <si>
    <t>Funda colchón</t>
  </si>
  <si>
    <t>Moshy</t>
  </si>
  <si>
    <t>Cable IEC C13 europeo 3 metros</t>
  </si>
  <si>
    <t>https://www.alibaba.com/product-detail/European-3-Pin-Round-AC-EU_1600328486399.html?spm=a2756.order-detail-ta-ta-b.0.0.52c82fc2Rf1Zui</t>
  </si>
  <si>
    <t>Enchufe CA IEC320 (C14 AC-04)</t>
  </si>
  <si>
    <t>https://www.aliexpress.com/item/32961436466.html?spm=a2g0o.order_list.0.0.21ef1802eLpalY</t>
  </si>
  <si>
    <t>https://amazon.es/gp/product/B0814PT3YG/ref=ppx_yo_dt_b_asin_title_o00_s00?ie=UTF8&amp;psc=1</t>
  </si>
  <si>
    <t>Cable USB C 1 metro</t>
  </si>
  <si>
    <t>https://www.alibaba.com/product-detail/Factory-Cheap-Price-Hot-Sell-Type_1600560931521.html?spm=a2756.order-detail-ta-ta-b.0.0.e73f2fc22I4szp</t>
  </si>
  <si>
    <t>https://www.amazon.es/NIBIKIA-Cargador-R%C3%A1pida-Sincronizaci%C3%B3n-Samsung/dp/B08F1TV4YN/ref=sr_1_5?__mk_es_ES=%C3%85M%C3%85%C5%BD%C3%95%C3%91&amp;crid=J9611WT8S90I&amp;keywords=usb+cable+1m&amp;qid=1654694164&amp;sprefix=usb+cable+1m%2Caps%2C94&amp;sr=8-5</t>
  </si>
  <si>
    <t>Bisagras escotillas</t>
  </si>
  <si>
    <t>https://www.amazon.es/dp/B087MCL42K?psc=1&amp;smid=A839N7HCQOMKL&amp;ref_=chk_typ_imgToDp</t>
  </si>
  <si>
    <t>Imanes impresión 3D</t>
  </si>
  <si>
    <t>https://www.aliexpress.com/item/1005001614154741.html?spm=a2g0o.order_list.0.0.21ef1802eLpalY</t>
  </si>
  <si>
    <t>Recambio humidificador (8x120)</t>
  </si>
  <si>
    <t>https://es.aliexpress.com/item/1005003007635792.html?dp=a8d7046c93ec7198f9860e4a10f38642&amp;af=1711154&amp;cv=47843&amp;afref=https%3A%2F%2Finfica.com&amp;mall_affr=pr3&amp;utm_source=admitad&amp;utm_medium=cpa&amp;utm_campaign=1711154&amp;utm_content=47843&amp;dp=a8d7046c93ec7198f9860e4a10f38642&amp;af=1711154&amp;cv=47843&amp;afref=https%3A%2F%2Finfica.com&amp;mall_affr=pr3&amp;utm_source=admitad&amp;utm_medium=cpa&amp;utm_campaign=1711154&amp;utm_content=47843&amp;aff_fcid=53fb752950ae43f08bd6d3263cb7290d-1685522296801-05568-_ePNSNV&amp;aff_fsk=_ePNSNV&amp;aff_platform=portals-tool&amp;sk=_ePNSNV&amp;aff_trace_key=53fb752950ae43f08bd6d3263cb7290d-1685522296801-05568-_ePNSNV&amp;terminal_id=898e407f494f470d88ce3592b297a7a8&amp;afSmartRedirect=y</t>
  </si>
  <si>
    <t>https://www.amazon.es/gp/product/B0D41KXSG1/ref=ppx_yo_dt_b_asin_title_o00_s00?ie=UTF8&amp;psc=1</t>
  </si>
  <si>
    <t>Imanes puerta</t>
  </si>
  <si>
    <t>Plan activación datos 500MB 5 años</t>
  </si>
  <si>
    <t>Truphone</t>
  </si>
  <si>
    <t>Pulsioxímetro</t>
  </si>
  <si>
    <t>https://www.alibaba.com/product-detail/Portable-Handheld-Pulse-Detector-Monitor-With_1600833765236.html</t>
  </si>
  <si>
    <t>TOTAL coste incubadora</t>
  </si>
  <si>
    <t>Name</t>
  </si>
  <si>
    <t>Description</t>
  </si>
  <si>
    <t>Nominal Voltage (V)</t>
  </si>
  <si>
    <t>Max current (A)</t>
  </si>
  <si>
    <t>Length (cm)</t>
  </si>
  <si>
    <t>Pin number</t>
  </si>
  <si>
    <t>Color</t>
  </si>
  <si>
    <t>Pinout</t>
  </si>
  <si>
    <t>Sección (mm2)</t>
  </si>
  <si>
    <t>Terminal  End 1</t>
  </si>
  <si>
    <t>Terminal  End 2</t>
  </si>
  <si>
    <t>Power supply to PCBA</t>
  </si>
  <si>
    <t>Bifilar</t>
  </si>
  <si>
    <t>12 DC</t>
  </si>
  <si>
    <t>Red</t>
  </si>
  <si>
    <t>12V</t>
  </si>
  <si>
    <t>Terminal horquilla</t>
  </si>
  <si>
    <t>Puntera</t>
  </si>
  <si>
    <t>Black</t>
  </si>
  <si>
    <t>GND</t>
  </si>
  <si>
    <t>AWG</t>
  </si>
  <si>
    <t>PCBA to LEDs</t>
  </si>
  <si>
    <t>Cable pelado 3mm</t>
  </si>
  <si>
    <t>AC socket to power supply</t>
  </si>
  <si>
    <t>Unifilar</t>
  </si>
  <si>
    <t>220 AC</t>
  </si>
  <si>
    <t>Blue</t>
  </si>
  <si>
    <t>Live</t>
  </si>
  <si>
    <t>Faston 4.8mm</t>
  </si>
  <si>
    <t>Black/Brown</t>
  </si>
  <si>
    <t>Neutral</t>
  </si>
  <si>
    <t>Yellow + Green</t>
  </si>
  <si>
    <t>Earth</t>
  </si>
  <si>
    <t>Mains to AC socket</t>
  </si>
  <si>
    <t>CEE 7/7 Plug to IEC 60320 C13</t>
  </si>
  <si>
    <t>230 AC</t>
  </si>
  <si>
    <t>EU socket</t>
  </si>
  <si>
    <t>IEC 60320 C13</t>
  </si>
  <si>
    <t>PCBA to Humidifier</t>
  </si>
  <si>
    <t>USB-C</t>
  </si>
  <si>
    <t>5 DC</t>
  </si>
  <si>
    <t>PCBA to Humidity sensor</t>
  </si>
  <si>
    <t>Hrs</t>
  </si>
  <si>
    <t>Eur/Hr</t>
  </si>
  <si>
    <t>Euro</t>
  </si>
  <si>
    <t>Mecanizado</t>
  </si>
  <si>
    <t>Montaje cuna</t>
  </si>
  <si>
    <t>Montaje electrónica</t>
  </si>
  <si>
    <t>Verificación final</t>
  </si>
  <si>
    <t>Prueba 24 hrs marcha</t>
  </si>
  <si>
    <t>TOTAL FABRICACION</t>
  </si>
  <si>
    <t>No se considera nada de diseño, compras, logística, documentación, etc..</t>
  </si>
  <si>
    <t>ni viajes de Pablo para puesta en marcha</t>
  </si>
  <si>
    <t>No se consideran reposiciones por problemas en la puesta en marcha</t>
  </si>
  <si>
    <t>No se consideran gastos de envíos parciales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</si>
</sst>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[$€]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4DD0E1"/>
        <bgColor rgb="FF4DD0E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vertical="bottom"/>
    </xf>
    <xf borderId="0" fillId="0" fontId="3" numFmtId="0" xfId="0" applyFont="1"/>
    <xf borderId="0" fillId="0" fontId="3" numFmtId="0" xfId="0" applyAlignment="1" applyFont="1">
      <alignment readingOrder="0"/>
    </xf>
    <xf borderId="1" fillId="0" fontId="2" numFmtId="164" xfId="0" applyAlignment="1" applyBorder="1" applyFont="1" applyNumberFormat="1">
      <alignment horizontal="left" vertical="bottom"/>
    </xf>
    <xf borderId="1" fillId="0" fontId="2" numFmtId="164" xfId="0" applyAlignment="1" applyBorder="1" applyFont="1" applyNumberFormat="1">
      <alignment horizontal="left" readingOrder="0" vertical="bottom"/>
    </xf>
    <xf borderId="1" fillId="0" fontId="2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164" xfId="0" applyAlignment="1" applyFont="1" applyNumberForma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2" numFmtId="164" xfId="0" applyAlignment="1" applyFont="1" applyNumberFormat="1">
      <alignment horizontal="left" readingOrder="0" vertical="bottom"/>
    </xf>
    <xf borderId="0" fillId="0" fontId="7" numFmtId="0" xfId="0" applyAlignment="1" applyFont="1">
      <alignment horizontal="left" readingOrder="0" vertical="bottom"/>
    </xf>
    <xf borderId="0" fillId="0" fontId="1" numFmtId="0" xfId="0" applyFont="1"/>
    <xf borderId="0" fillId="2" fontId="3" numFmtId="0" xfId="0" applyAlignment="1" applyFill="1" applyFont="1">
      <alignment readingOrder="0"/>
    </xf>
    <xf borderId="0" fillId="2" fontId="3" numFmtId="164" xfId="0" applyFont="1" applyNumberFormat="1"/>
    <xf borderId="0" fillId="2" fontId="3" numFmtId="0" xfId="0" applyFont="1"/>
    <xf borderId="1" fillId="3" fontId="2" numFmtId="0" xfId="0" applyAlignment="1" applyBorder="1" applyFill="1" applyFont="1">
      <alignment horizontal="left" vertical="bottom"/>
    </xf>
    <xf borderId="1" fillId="0" fontId="3" numFmtId="0" xfId="0" applyBorder="1" applyFont="1"/>
    <xf borderId="1" fillId="3" fontId="2" numFmtId="0" xfId="0" applyAlignment="1" applyBorder="1" applyFont="1">
      <alignment horizontal="left" vertical="bottom"/>
    </xf>
    <xf borderId="1" fillId="0" fontId="3" numFmtId="0" xfId="0" applyBorder="1" applyFon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5">
    <tableStyle count="3" pivot="0" name="BOM Assembly-style">
      <tableStyleElement dxfId="1" type="headerRow"/>
      <tableStyleElement dxfId="2" type="firstRowStripe"/>
      <tableStyleElement dxfId="3" type="secondRowStripe"/>
    </tableStyle>
    <tableStyle count="3" pivot="0" name="Cables-style">
      <tableStyleElement dxfId="1" type="headerRow"/>
      <tableStyleElement dxfId="2" type="firstRowStripe"/>
      <tableStyleElement dxfId="3" type="secondRowStripe"/>
    </tableStyle>
    <tableStyle count="3" pivot="0" name="Cables-style 2">
      <tableStyleElement dxfId="1" type="headerRow"/>
      <tableStyleElement dxfId="2" type="firstRowStripe"/>
      <tableStyleElement dxfId="3" type="secondRowStripe"/>
    </tableStyle>
    <tableStyle count="3" pivot="0" name="Cables-style 3">
      <tableStyleElement dxfId="1" type="headerRow"/>
      <tableStyleElement dxfId="2" type="firstRowStripe"/>
      <tableStyleElement dxfId="3" type="secondRowStripe"/>
    </tableStyle>
    <tableStyle count="3" pivot="0" name="Cables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M33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M Assembl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C2:M4" displayName="Table_2" name="Table_2" id="2">
  <tableColumns count="11">
    <tableColumn name="Name" id="1"/>
    <tableColumn name="Description" id="2"/>
    <tableColumn name="Nominal Voltage (V)" id="3"/>
    <tableColumn name="Max current (A)" id="4"/>
    <tableColumn name="Length (cm)" id="5"/>
    <tableColumn name="Pin number" id="6"/>
    <tableColumn name="Color" id="7"/>
    <tableColumn name="Pinout" id="8"/>
    <tableColumn name="Sección (mm2)" id="9"/>
    <tableColumn name="Terminal  End 1" id="10"/>
    <tableColumn name="Terminal  End 2" id="11"/>
  </tableColumns>
  <tableStyleInfo name="Cables-style" showColumnStripes="0" showFirstColumn="1" showLastColumn="1" showRowStripes="1"/>
</table>
</file>

<file path=xl/tables/table3.xml><?xml version="1.0" encoding="utf-8"?>
<table xmlns="http://schemas.openxmlformats.org/spreadsheetml/2006/main" ref="C6:M8" displayName="Table_3" name="Table_3" id="3">
  <tableColumns count="11">
    <tableColumn name="Name" id="1"/>
    <tableColumn name="Description" id="2"/>
    <tableColumn name="Nominal Voltage (V)" id="3"/>
    <tableColumn name="Max current (A)" id="4"/>
    <tableColumn name="Length (cm)" id="5"/>
    <tableColumn name="Pin number" id="6"/>
    <tableColumn name="Color" id="7"/>
    <tableColumn name="Pinout" id="8"/>
    <tableColumn name="AWG" id="9"/>
    <tableColumn name="Terminal  End 1" id="10"/>
    <tableColumn name="Terminal  End 2" id="11"/>
  </tableColumns>
  <tableStyleInfo name="Cables-style 2" showColumnStripes="0" showFirstColumn="1" showLastColumn="1" showRowStripes="1"/>
</table>
</file>

<file path=xl/tables/table4.xml><?xml version="1.0" encoding="utf-8"?>
<table xmlns="http://schemas.openxmlformats.org/spreadsheetml/2006/main" ref="C10:M13" displayName="Table_4" name="Table_4" id="4">
  <tableColumns count="11">
    <tableColumn name="Name" id="1"/>
    <tableColumn name="Description" id="2"/>
    <tableColumn name="Nominal Voltage (V)" id="3"/>
    <tableColumn name="Max current (A)" id="4"/>
    <tableColumn name="Length (cm)" id="5"/>
    <tableColumn name="Pin number" id="6"/>
    <tableColumn name="Color" id="7"/>
    <tableColumn name="Pinout" id="8"/>
    <tableColumn name="AWG" id="9"/>
    <tableColumn name="Terminal  End 1" id="10"/>
    <tableColumn name="Terminal  End 2" id="11"/>
  </tableColumns>
  <tableStyleInfo name="Cables-style 3" showColumnStripes="0" showFirstColumn="1" showLastColumn="1" showRowStripes="1"/>
</table>
</file>

<file path=xl/tables/table5.xml><?xml version="1.0" encoding="utf-8"?>
<table xmlns="http://schemas.openxmlformats.org/spreadsheetml/2006/main" ref="C15:M16" displayName="Table_5" name="Table_5" id="5">
  <tableColumns count="11">
    <tableColumn name="Name" id="1"/>
    <tableColumn name="Description" id="2"/>
    <tableColumn name="Nominal Voltage (V)" id="3"/>
    <tableColumn name="Max current (A)" id="4"/>
    <tableColumn name="Length (cm)" id="5"/>
    <tableColumn name="Pin number" id="6"/>
    <tableColumn name="Color" id="7"/>
    <tableColumn name="Pinout" id="8"/>
    <tableColumn name="AWG" id="9"/>
    <tableColumn name="Terminal  End 1" id="10"/>
    <tableColumn name="Terminal  End 2" id="11"/>
  </tableColumns>
  <tableStyleInfo name="Cable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liexpress.com/item/1005001614154741.html?spm=a2g0o.order_list.0.0.21ef1802eLpalY" TargetMode="External"/><Relationship Id="rId22" Type="http://schemas.openxmlformats.org/officeDocument/2006/relationships/hyperlink" Target="https://www.amazon.es/gp/product/B0D41KXSG1/ref=ppx_yo_dt_b_asin_title_o00_s00?ie=UTF8&amp;psc=1" TargetMode="External"/><Relationship Id="rId21" Type="http://schemas.openxmlformats.org/officeDocument/2006/relationships/hyperlink" Target="https://es.aliexpress.com/item/1005003007635792.html?dp=a8d7046c93ec7198f9860e4a10f38642&amp;af=1711154&amp;cv=47843&amp;afref=https%3A%2F%2Finfica.com&amp;mall_affr=pr3&amp;utm_source=admitad&amp;utm_medium=cpa&amp;utm_campaign=1711154&amp;utm_content=47843&amp;dp=a8d7046c93ec7198f9860e4a10f38642&amp;af=1711154&amp;cv=47843&amp;afref=https%3A%2F%2Finfica.com&amp;mall_affr=pr3&amp;utm_source=admitad&amp;utm_medium=cpa&amp;utm_campaign=1711154&amp;utm_content=47843&amp;aff_fcid=53fb752950ae43f08bd6d3263cb7290d-1685522296801-05568-_ePNSNV&amp;aff_fsk=_ePNSNV&amp;aff_platform=portals-tool&amp;sk=_ePNSNV&amp;aff_trace_key=53fb752950ae43f08bd6d3263cb7290d-1685522296801-05568-_ePNSNV&amp;terminal_id=898e407f494f470d88ce3592b297a7a8&amp;afSmartRedirect=y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s://www.alibaba.com/product-detail/Portable-Handheld-Pulse-Detector-Monitor-With_1600833765236.html" TargetMode="External"/><Relationship Id="rId1" Type="http://schemas.openxmlformats.org/officeDocument/2006/relationships/hyperlink" Target="https://www.elecrow.com/esp32-display-7-inch-hmi-display-rgb-tft-lcd-touch-screen-support-lvgl.html" TargetMode="External"/><Relationship Id="rId2" Type="http://schemas.openxmlformats.org/officeDocument/2006/relationships/hyperlink" Target="https://www.alibaba.com/product-detail/HDPE-plastic-sheet-PE300-PE500-PE1000_60164991050.html?spm=a2756.order-detail-ta-ta-b.0.0.2b882fc2Mw4oMA" TargetMode="External"/><Relationship Id="rId3" Type="http://schemas.openxmlformats.org/officeDocument/2006/relationships/hyperlink" Target="https://www.alibaba.com/product-detail/HDPE-plastic-sheet-PE300-PE500-PE1000_60164991050.html?spm=a2756.order-detail-ta-ta-b.0.0.2b882fc2Mw4oMA" TargetMode="External"/><Relationship Id="rId4" Type="http://schemas.openxmlformats.org/officeDocument/2006/relationships/hyperlink" Target="https://www.alibaba.com/product-detail/VSEC-Low-voltage-12V24V-60x60with-fan_1600374482236.html?spm=a2756.order-detail-ta-ta-b.0.0.40a62fc20UwsCh" TargetMode="External"/><Relationship Id="rId9" Type="http://schemas.openxmlformats.org/officeDocument/2006/relationships/hyperlink" Target="https://www.alibaba.com/product-detail/SOMPOM-AC-to-DC-Open-Frame_1600640688827.html?spm=a2756.order-detail-ta-ta-b.0.0.50692fc2xTnmpw" TargetMode="External"/><Relationship Id="rId26" Type="http://schemas.openxmlformats.org/officeDocument/2006/relationships/table" Target="../tables/table1.xml"/><Relationship Id="rId5" Type="http://schemas.openxmlformats.org/officeDocument/2006/relationships/hyperlink" Target="https://www.amazon.es/Fdit-Desodorante-Calefacci%C3%B3n-Calentamiento-Temperatura/dp/B07JNVD6S6/ref=sr_1_3?__mk_es_ES=%C3%85M%C3%85%C5%BD%C3%95%C3%91&amp;crid=YDM1FBK7BDOV&amp;keywords=heater%2B12v%2B100w&amp;qid=1654693558&amp;sprefix=heater%2B12v%2B100w%2Caps%2C68&amp;sr=8-3&amp;th=1" TargetMode="External"/><Relationship Id="rId6" Type="http://schemas.openxmlformats.org/officeDocument/2006/relationships/hyperlink" Target="https://es.aliexpress.com/item/1005003789313581.html?spm=a2g0o.cart.0.0.50ce7a9dTFwLzm&amp;mp=1&amp;gatewayAdapt=glo2esp" TargetMode="External"/><Relationship Id="rId7" Type="http://schemas.openxmlformats.org/officeDocument/2006/relationships/hyperlink" Target="https://www.aliexpress.com/item/33003878267.html?spm=a2g0o.order_detail.0.0.792df19cCr9aQH" TargetMode="External"/><Relationship Id="rId8" Type="http://schemas.openxmlformats.org/officeDocument/2006/relationships/hyperlink" Target="https://www.alibaba.com/product-detail/High-Performance-12v-2-16w-Dc_1600604080724.html?spm=a2700.shop_plgr.41413.2.7805618eA9gtX5" TargetMode="External"/><Relationship Id="rId11" Type="http://schemas.openxmlformats.org/officeDocument/2006/relationships/hyperlink" Target="https://www.aliexpress.com/item/32215916414.html?spm=a2g0o.order_list.0.0.21ef1802eLpalY" TargetMode="External"/><Relationship Id="rId10" Type="http://schemas.openxmlformats.org/officeDocument/2006/relationships/hyperlink" Target="https://www.amazon.es/gp/product/B01MRSAT39/ref=ppx_yo_dt_b_asin_image_o06_s00?ie=UTF8&amp;psc=1" TargetMode="External"/><Relationship Id="rId13" Type="http://schemas.openxmlformats.org/officeDocument/2006/relationships/hyperlink" Target="https://www.amazon.es/dp/B081FD5YPQ?psc=1&amp;smid=AI8QHMGPGEF9A&amp;ref_=chk_typ_imgToDp" TargetMode="External"/><Relationship Id="rId12" Type="http://schemas.openxmlformats.org/officeDocument/2006/relationships/hyperlink" Target="https://www.amazon.es/sensores-temperatura-impermeables-sensor-precisi%C3%B3n/dp/B07Y1TRBS2/ref=sr_1_6?__mk_es_ES=%C3%85M%C3%85%C5%BD%C3%95%C3%91&amp;crid=1I2O06NOAQRBO&amp;keywords=sensor+temperatura+ntc+1m&amp;qid=1654694069&amp;sprefix=sensor+temperatura+ntc+1m%2Caps%2C88&amp;sr=8-6" TargetMode="External"/><Relationship Id="rId15" Type="http://schemas.openxmlformats.org/officeDocument/2006/relationships/hyperlink" Target="https://www.aliexpress.com/item/32961436466.html?spm=a2g0o.order_list.0.0.21ef1802eLpalY" TargetMode="External"/><Relationship Id="rId14" Type="http://schemas.openxmlformats.org/officeDocument/2006/relationships/hyperlink" Target="https://www.alibaba.com/product-detail/European-3-Pin-Round-AC-EU_1600328486399.html?spm=a2756.order-detail-ta-ta-b.0.0.52c82fc2Rf1Zui" TargetMode="External"/><Relationship Id="rId17" Type="http://schemas.openxmlformats.org/officeDocument/2006/relationships/hyperlink" Target="https://www.alibaba.com/product-detail/Factory-Cheap-Price-Hot-Sell-Type_1600560931521.html?spm=a2756.order-detail-ta-ta-b.0.0.e73f2fc22I4szp" TargetMode="External"/><Relationship Id="rId16" Type="http://schemas.openxmlformats.org/officeDocument/2006/relationships/hyperlink" Target="https://amazon.es/gp/product/B0814PT3YG/ref=ppx_yo_dt_b_asin_title_o00_s00?ie=UTF8&amp;psc=1" TargetMode="External"/><Relationship Id="rId19" Type="http://schemas.openxmlformats.org/officeDocument/2006/relationships/hyperlink" Target="https://www.amazon.es/dp/B087MCL42K?psc=1&amp;smid=A839N7HCQOMKL&amp;ref_=chk_typ_imgToDp" TargetMode="External"/><Relationship Id="rId18" Type="http://schemas.openxmlformats.org/officeDocument/2006/relationships/hyperlink" Target="https://www.amazon.es/NIBIKIA-Cargador-R%C3%A1pida-Sincronizaci%C3%B3n-Samsung/dp/B08F1TV4YN/ref=sr_1_5?__mk_es_ES=%C3%85M%C3%85%C5%BD%C3%95%C3%91&amp;crid=J9611WT8S90I&amp;keywords=usb+cable+1m&amp;qid=1654694164&amp;sprefix=usb+cable+1m%2Caps%2C94&amp;sr=8-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7.75"/>
    <col customWidth="1" min="3" max="4" width="13.25"/>
    <col customWidth="1" hidden="1" min="5" max="5" width="21.88"/>
    <col customWidth="1" hidden="1" min="6" max="6" width="15.88"/>
    <col customWidth="1" min="7" max="7" width="15.88"/>
    <col customWidth="1" hidden="1" min="10" max="10" width="12.63"/>
    <col customWidth="1" hidden="1" min="11" max="11" width="21.75"/>
    <col customWidth="1" min="12" max="13" width="78.5"/>
  </cols>
  <sheetData>
    <row r="1" ht="15.75" customHeight="1">
      <c r="A1" s="1"/>
    </row>
    <row r="2" ht="15.75" customHeight="1">
      <c r="B2" s="2"/>
      <c r="C2" s="2" t="s">
        <v>0</v>
      </c>
      <c r="D2" s="2" t="s">
        <v>1</v>
      </c>
      <c r="E2" s="3" t="s">
        <v>2</v>
      </c>
      <c r="F2" s="4" t="s">
        <v>3</v>
      </c>
      <c r="G2" s="4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</row>
    <row r="3" ht="15.75" customHeight="1">
      <c r="B3" s="2" t="s">
        <v>11</v>
      </c>
      <c r="C3" s="2" t="s">
        <v>12</v>
      </c>
      <c r="D3" s="2">
        <v>1.0</v>
      </c>
      <c r="E3" s="5">
        <v>75.0</v>
      </c>
      <c r="F3" s="6">
        <v>60.0</v>
      </c>
      <c r="G3" s="6">
        <v>60.0</v>
      </c>
      <c r="H3" s="5">
        <f t="shared" ref="H3:H31" si="1">G3*D3</f>
        <v>60</v>
      </c>
      <c r="I3" s="2" t="s">
        <v>13</v>
      </c>
      <c r="J3" s="2">
        <v>20.0</v>
      </c>
      <c r="K3" s="2"/>
      <c r="L3" s="2"/>
      <c r="M3" s="2"/>
    </row>
    <row r="4" ht="15.75" customHeight="1">
      <c r="B4" s="7" t="s">
        <v>14</v>
      </c>
      <c r="C4" s="2" t="s">
        <v>12</v>
      </c>
      <c r="D4" s="2">
        <v>1.0</v>
      </c>
      <c r="E4" s="5"/>
      <c r="F4" s="6">
        <v>40.0</v>
      </c>
      <c r="G4" s="6">
        <v>40.0</v>
      </c>
      <c r="H4" s="5">
        <f t="shared" si="1"/>
        <v>40</v>
      </c>
      <c r="I4" s="7" t="s">
        <v>15</v>
      </c>
      <c r="J4" s="2"/>
      <c r="K4" s="2"/>
      <c r="L4" s="8" t="s">
        <v>16</v>
      </c>
      <c r="M4" s="2"/>
    </row>
    <row r="5" ht="15.75" customHeight="1">
      <c r="B5" s="2" t="s">
        <v>17</v>
      </c>
      <c r="C5" s="2" t="s">
        <v>12</v>
      </c>
      <c r="D5" s="2">
        <v>1.0</v>
      </c>
      <c r="E5" s="5"/>
      <c r="F5" s="5"/>
      <c r="G5" s="6">
        <v>7.0</v>
      </c>
      <c r="H5" s="5">
        <f t="shared" si="1"/>
        <v>7</v>
      </c>
      <c r="I5" s="2" t="s">
        <v>13</v>
      </c>
      <c r="J5" s="2">
        <v>20.0</v>
      </c>
      <c r="K5" s="2"/>
      <c r="L5" s="2"/>
      <c r="M5" s="2"/>
    </row>
    <row r="6" ht="15.75" customHeight="1">
      <c r="B6" s="2" t="s">
        <v>18</v>
      </c>
      <c r="C6" s="2" t="s">
        <v>12</v>
      </c>
      <c r="D6" s="2">
        <v>1.0</v>
      </c>
      <c r="E6" s="5"/>
      <c r="F6" s="5"/>
      <c r="G6" s="6">
        <v>15.0</v>
      </c>
      <c r="H6" s="5">
        <f t="shared" si="1"/>
        <v>15</v>
      </c>
      <c r="I6" s="2" t="s">
        <v>13</v>
      </c>
      <c r="J6" s="2">
        <v>20.0</v>
      </c>
      <c r="K6" s="2"/>
      <c r="L6" s="2"/>
      <c r="M6" s="2"/>
    </row>
    <row r="7" ht="15.75" customHeight="1">
      <c r="B7" s="2" t="s">
        <v>19</v>
      </c>
      <c r="C7" s="2" t="s">
        <v>12</v>
      </c>
      <c r="D7" s="2">
        <v>1.0</v>
      </c>
      <c r="E7" s="6">
        <v>0.0</v>
      </c>
      <c r="F7" s="6">
        <v>0.0</v>
      </c>
      <c r="G7" s="6">
        <v>10.0</v>
      </c>
      <c r="H7" s="5">
        <f t="shared" si="1"/>
        <v>10</v>
      </c>
      <c r="I7" s="2" t="s">
        <v>13</v>
      </c>
      <c r="J7" s="2">
        <v>20.0</v>
      </c>
      <c r="K7" s="2"/>
      <c r="L7" s="2"/>
      <c r="M7" s="2"/>
    </row>
    <row r="8" ht="15.75" customHeight="1">
      <c r="B8" s="2" t="s">
        <v>20</v>
      </c>
      <c r="C8" s="2" t="s">
        <v>21</v>
      </c>
      <c r="D8" s="2">
        <v>1.0</v>
      </c>
      <c r="E8" s="5">
        <v>50.0</v>
      </c>
      <c r="F8" s="5">
        <v>50.0</v>
      </c>
      <c r="G8" s="6">
        <v>60.0</v>
      </c>
      <c r="H8" s="5">
        <f t="shared" si="1"/>
        <v>60</v>
      </c>
      <c r="I8" s="7" t="s">
        <v>22</v>
      </c>
      <c r="J8" s="2" t="s">
        <v>23</v>
      </c>
      <c r="K8" s="2"/>
      <c r="L8" s="8" t="s">
        <v>24</v>
      </c>
      <c r="M8" s="7" t="s">
        <v>22</v>
      </c>
    </row>
    <row r="9" ht="15.75" customHeight="1">
      <c r="B9" s="2" t="s">
        <v>25</v>
      </c>
      <c r="C9" s="2" t="s">
        <v>21</v>
      </c>
      <c r="D9" s="2">
        <v>1.0</v>
      </c>
      <c r="E9" s="5">
        <v>15.0</v>
      </c>
      <c r="F9" s="5">
        <v>15.0</v>
      </c>
      <c r="G9" s="6">
        <v>16.0</v>
      </c>
      <c r="H9" s="5">
        <f t="shared" si="1"/>
        <v>16</v>
      </c>
      <c r="I9" s="7" t="s">
        <v>22</v>
      </c>
      <c r="J9" s="2" t="s">
        <v>23</v>
      </c>
      <c r="K9" s="2"/>
      <c r="L9" s="8" t="s">
        <v>24</v>
      </c>
      <c r="M9" s="7" t="s">
        <v>22</v>
      </c>
    </row>
    <row r="10" ht="15.75" customHeight="1">
      <c r="B10" s="2" t="s">
        <v>26</v>
      </c>
      <c r="C10" s="2" t="s">
        <v>21</v>
      </c>
      <c r="D10" s="2">
        <v>1.0</v>
      </c>
      <c r="E10" s="5">
        <v>15.0</v>
      </c>
      <c r="F10" s="5">
        <v>15.0</v>
      </c>
      <c r="G10" s="5">
        <v>15.0</v>
      </c>
      <c r="H10" s="5">
        <f t="shared" si="1"/>
        <v>15</v>
      </c>
      <c r="I10" s="7" t="s">
        <v>22</v>
      </c>
      <c r="J10" s="2" t="s">
        <v>23</v>
      </c>
      <c r="K10" s="2"/>
      <c r="L10" s="2"/>
      <c r="M10" s="2"/>
    </row>
    <row r="11" ht="15.75" customHeight="1">
      <c r="B11" s="7" t="s">
        <v>27</v>
      </c>
      <c r="C11" s="2" t="s">
        <v>21</v>
      </c>
      <c r="D11" s="2">
        <v>1.0</v>
      </c>
      <c r="E11" s="5">
        <v>15.0</v>
      </c>
      <c r="F11" s="5">
        <v>15.0</v>
      </c>
      <c r="G11" s="6">
        <v>55.0</v>
      </c>
      <c r="H11" s="5">
        <f t="shared" si="1"/>
        <v>55</v>
      </c>
      <c r="I11" s="7" t="s">
        <v>22</v>
      </c>
      <c r="J11" s="2" t="s">
        <v>23</v>
      </c>
      <c r="K11" s="2"/>
      <c r="L11" s="2"/>
      <c r="M11" s="2"/>
    </row>
    <row r="12" ht="15.75" customHeight="1">
      <c r="B12" s="7" t="s">
        <v>28</v>
      </c>
      <c r="C12" s="2" t="s">
        <v>21</v>
      </c>
      <c r="D12" s="2">
        <v>1.0</v>
      </c>
      <c r="E12" s="5">
        <v>20.0</v>
      </c>
      <c r="F12" s="5">
        <v>20.0</v>
      </c>
      <c r="G12" s="5">
        <v>20.0</v>
      </c>
      <c r="H12" s="5">
        <f t="shared" si="1"/>
        <v>20</v>
      </c>
      <c r="I12" s="2" t="s">
        <v>29</v>
      </c>
      <c r="J12" s="2" t="s">
        <v>23</v>
      </c>
      <c r="K12" s="2"/>
      <c r="M12" s="2"/>
    </row>
    <row r="13" ht="15.75" customHeight="1">
      <c r="B13" s="7" t="s">
        <v>30</v>
      </c>
      <c r="C13" s="2" t="s">
        <v>31</v>
      </c>
      <c r="D13" s="2">
        <v>1.0</v>
      </c>
      <c r="E13" s="5">
        <v>19.35</v>
      </c>
      <c r="F13" s="5">
        <v>19.35</v>
      </c>
      <c r="G13" s="6">
        <v>15.0</v>
      </c>
      <c r="H13" s="5">
        <f t="shared" si="1"/>
        <v>15</v>
      </c>
      <c r="I13" s="7" t="s">
        <v>32</v>
      </c>
      <c r="J13" s="2" t="s">
        <v>23</v>
      </c>
      <c r="K13" s="2"/>
      <c r="M13" s="2"/>
    </row>
    <row r="14" ht="15.75" customHeight="1">
      <c r="B14" s="2" t="s">
        <v>33</v>
      </c>
      <c r="C14" s="2" t="s">
        <v>12</v>
      </c>
      <c r="D14" s="2">
        <v>1.0</v>
      </c>
      <c r="E14" s="6">
        <v>10.0</v>
      </c>
      <c r="F14" s="6">
        <v>10.0</v>
      </c>
      <c r="G14" s="5">
        <v>10.0</v>
      </c>
      <c r="H14" s="5">
        <f t="shared" si="1"/>
        <v>10</v>
      </c>
      <c r="I14" s="2"/>
      <c r="J14" s="2">
        <v>30.0</v>
      </c>
      <c r="K14" s="2"/>
      <c r="L14" s="9" t="s">
        <v>34</v>
      </c>
      <c r="M14" s="9" t="s">
        <v>35</v>
      </c>
    </row>
    <row r="15" ht="15.75" customHeight="1">
      <c r="B15" s="2" t="s">
        <v>36</v>
      </c>
      <c r="C15" s="2" t="s">
        <v>12</v>
      </c>
      <c r="D15" s="2">
        <v>1.0</v>
      </c>
      <c r="E15" s="6">
        <v>0.4</v>
      </c>
      <c r="F15" s="6">
        <v>0.4</v>
      </c>
      <c r="G15" s="5">
        <v>0.4</v>
      </c>
      <c r="H15" s="5">
        <f t="shared" si="1"/>
        <v>0.4</v>
      </c>
      <c r="I15" s="2"/>
      <c r="J15" s="2"/>
      <c r="K15" s="2"/>
      <c r="L15" s="10" t="s">
        <v>37</v>
      </c>
      <c r="M15" s="2"/>
    </row>
    <row r="16" ht="15.75" customHeight="1">
      <c r="B16" s="2" t="s">
        <v>38</v>
      </c>
      <c r="C16" s="2" t="s">
        <v>12</v>
      </c>
      <c r="D16" s="2">
        <v>1.0</v>
      </c>
      <c r="E16" s="5">
        <v>1.0</v>
      </c>
      <c r="F16" s="5">
        <v>1.0</v>
      </c>
      <c r="G16" s="5">
        <v>1.0</v>
      </c>
      <c r="H16" s="5">
        <f t="shared" si="1"/>
        <v>1</v>
      </c>
      <c r="I16" s="2"/>
      <c r="J16" s="2">
        <v>20.0</v>
      </c>
      <c r="K16" s="2"/>
      <c r="L16" s="10" t="s">
        <v>39</v>
      </c>
      <c r="M16" s="2"/>
    </row>
    <row r="17" ht="15.75" customHeight="1">
      <c r="B17" s="7" t="s">
        <v>40</v>
      </c>
      <c r="C17" s="2" t="s">
        <v>12</v>
      </c>
      <c r="D17" s="7">
        <v>1.0</v>
      </c>
      <c r="E17" s="6">
        <v>2.2</v>
      </c>
      <c r="F17" s="6">
        <v>2.2</v>
      </c>
      <c r="G17" s="5">
        <v>2.2</v>
      </c>
      <c r="H17" s="5">
        <f t="shared" si="1"/>
        <v>2.2</v>
      </c>
      <c r="I17" s="2"/>
      <c r="J17" s="2"/>
      <c r="K17" s="2"/>
      <c r="L17" s="8" t="s">
        <v>41</v>
      </c>
      <c r="M17" s="2"/>
    </row>
    <row r="18" ht="15.75" customHeight="1">
      <c r="B18" s="2" t="s">
        <v>42</v>
      </c>
      <c r="C18" s="2" t="s">
        <v>12</v>
      </c>
      <c r="D18" s="2">
        <v>1.0</v>
      </c>
      <c r="E18" s="6">
        <v>9.0</v>
      </c>
      <c r="F18" s="6">
        <v>9.0</v>
      </c>
      <c r="G18" s="6">
        <v>10.0</v>
      </c>
      <c r="H18" s="5">
        <f t="shared" si="1"/>
        <v>10</v>
      </c>
      <c r="I18" s="2"/>
      <c r="J18" s="2">
        <v>15.0</v>
      </c>
      <c r="K18" s="2"/>
      <c r="L18" s="8" t="s">
        <v>43</v>
      </c>
      <c r="M18" s="10" t="s">
        <v>44</v>
      </c>
    </row>
    <row r="19" ht="15.75" customHeight="1">
      <c r="B19" s="2" t="s">
        <v>45</v>
      </c>
      <c r="C19" s="2" t="s">
        <v>12</v>
      </c>
      <c r="D19" s="2">
        <v>1.0</v>
      </c>
      <c r="E19" s="5">
        <v>0.5</v>
      </c>
      <c r="F19" s="5">
        <v>0.5</v>
      </c>
      <c r="G19" s="5">
        <v>0.5</v>
      </c>
      <c r="H19" s="5">
        <f t="shared" si="1"/>
        <v>0.5</v>
      </c>
      <c r="I19" s="2"/>
      <c r="J19" s="2">
        <v>60.0</v>
      </c>
      <c r="K19" s="2"/>
      <c r="L19" s="10" t="s">
        <v>46</v>
      </c>
      <c r="M19" s="10" t="s">
        <v>47</v>
      </c>
    </row>
    <row r="20" ht="15.75" customHeight="1">
      <c r="B20" s="2" t="s">
        <v>48</v>
      </c>
      <c r="C20" s="2" t="s">
        <v>12</v>
      </c>
      <c r="D20" s="2">
        <v>1.0</v>
      </c>
      <c r="E20" s="6">
        <v>4.0</v>
      </c>
      <c r="F20" s="6">
        <v>4.0</v>
      </c>
      <c r="G20" s="5">
        <v>4.0</v>
      </c>
      <c r="H20" s="5">
        <f t="shared" si="1"/>
        <v>4</v>
      </c>
      <c r="I20" s="7" t="s">
        <v>49</v>
      </c>
      <c r="J20" s="2">
        <v>0.0</v>
      </c>
      <c r="K20" s="2"/>
      <c r="M20" s="2"/>
    </row>
    <row r="21" ht="15.75" customHeight="1">
      <c r="B21" s="7" t="s">
        <v>50</v>
      </c>
      <c r="C21" s="2" t="s">
        <v>21</v>
      </c>
      <c r="D21" s="2">
        <v>0.1</v>
      </c>
      <c r="E21" s="5">
        <v>67.0</v>
      </c>
      <c r="F21" s="5">
        <v>67.0</v>
      </c>
      <c r="G21" s="6">
        <v>4.0</v>
      </c>
      <c r="H21" s="5">
        <f t="shared" si="1"/>
        <v>0.4</v>
      </c>
      <c r="I21" s="2"/>
      <c r="J21" s="2">
        <v>20.0</v>
      </c>
      <c r="K21" s="2"/>
      <c r="L21" s="8" t="s">
        <v>51</v>
      </c>
      <c r="M21" s="2"/>
    </row>
    <row r="22" ht="15.75" customHeight="1">
      <c r="B22" s="2" t="s">
        <v>52</v>
      </c>
      <c r="C22" s="2" t="s">
        <v>21</v>
      </c>
      <c r="D22" s="2">
        <v>1.0</v>
      </c>
      <c r="E22" s="5">
        <v>7.0</v>
      </c>
      <c r="F22" s="5">
        <v>7.0</v>
      </c>
      <c r="G22" s="5">
        <v>7.0</v>
      </c>
      <c r="H22" s="5">
        <f t="shared" si="1"/>
        <v>7</v>
      </c>
      <c r="I22" s="7" t="s">
        <v>53</v>
      </c>
      <c r="J22" s="2">
        <v>49.0</v>
      </c>
      <c r="K22" s="2"/>
      <c r="M22" s="2"/>
    </row>
    <row r="23" ht="15.75" customHeight="1">
      <c r="B23" s="7" t="s">
        <v>54</v>
      </c>
      <c r="C23" s="2" t="s">
        <v>12</v>
      </c>
      <c r="D23" s="2">
        <v>1.0</v>
      </c>
      <c r="E23" s="6">
        <v>2.0</v>
      </c>
      <c r="F23" s="6">
        <v>2.0</v>
      </c>
      <c r="G23" s="5">
        <v>2.0</v>
      </c>
      <c r="H23" s="5">
        <f t="shared" si="1"/>
        <v>2</v>
      </c>
      <c r="I23" s="2"/>
      <c r="J23" s="2"/>
      <c r="K23" s="2"/>
      <c r="L23" s="8" t="s">
        <v>55</v>
      </c>
      <c r="M23" s="2"/>
    </row>
    <row r="24" ht="15.75" customHeight="1">
      <c r="B24" s="2" t="s">
        <v>56</v>
      </c>
      <c r="C24" s="2" t="s">
        <v>12</v>
      </c>
      <c r="D24" s="2">
        <v>1.0</v>
      </c>
      <c r="E24" s="5">
        <v>2.2</v>
      </c>
      <c r="F24" s="5">
        <v>2.2</v>
      </c>
      <c r="G24" s="5">
        <v>2.2</v>
      </c>
      <c r="H24" s="5">
        <f t="shared" si="1"/>
        <v>2.2</v>
      </c>
      <c r="I24" s="2"/>
      <c r="J24" s="2">
        <v>10.0</v>
      </c>
      <c r="K24" s="2"/>
      <c r="L24" s="10" t="s">
        <v>57</v>
      </c>
      <c r="M24" s="8" t="s">
        <v>58</v>
      </c>
    </row>
    <row r="25" ht="15.75" customHeight="1">
      <c r="B25" s="2" t="s">
        <v>59</v>
      </c>
      <c r="C25" s="2" t="s">
        <v>12</v>
      </c>
      <c r="D25" s="2">
        <v>2.0</v>
      </c>
      <c r="E25" s="5">
        <v>2.7</v>
      </c>
      <c r="F25" s="5">
        <v>2.7</v>
      </c>
      <c r="G25" s="5">
        <v>5.4</v>
      </c>
      <c r="H25" s="5">
        <f t="shared" si="1"/>
        <v>10.8</v>
      </c>
      <c r="I25" s="2"/>
      <c r="J25" s="2">
        <v>15.0</v>
      </c>
      <c r="K25" s="2"/>
      <c r="L25" s="8" t="s">
        <v>60</v>
      </c>
      <c r="M25" s="10" t="s">
        <v>61</v>
      </c>
    </row>
    <row r="26" ht="15.75" customHeight="1">
      <c r="B26" s="2" t="s">
        <v>62</v>
      </c>
      <c r="C26" s="2" t="s">
        <v>21</v>
      </c>
      <c r="D26" s="7">
        <v>4.0</v>
      </c>
      <c r="E26" s="5">
        <v>0.45</v>
      </c>
      <c r="F26" s="5">
        <v>0.45</v>
      </c>
      <c r="G26" s="5">
        <v>1.8</v>
      </c>
      <c r="H26" s="5">
        <f t="shared" si="1"/>
        <v>7.2</v>
      </c>
      <c r="I26" s="2"/>
      <c r="J26" s="2"/>
      <c r="K26" s="2"/>
      <c r="L26" s="8" t="s">
        <v>63</v>
      </c>
      <c r="M26" s="2"/>
    </row>
    <row r="27" ht="15.75" customHeight="1">
      <c r="B27" s="2" t="s">
        <v>64</v>
      </c>
      <c r="C27" s="2" t="s">
        <v>31</v>
      </c>
      <c r="D27" s="7">
        <v>8.0</v>
      </c>
      <c r="E27" s="5">
        <v>0.14</v>
      </c>
      <c r="F27" s="5">
        <v>0.14</v>
      </c>
      <c r="G27" s="6">
        <v>0.75</v>
      </c>
      <c r="H27" s="5">
        <f t="shared" si="1"/>
        <v>6</v>
      </c>
      <c r="I27" s="2"/>
      <c r="J27" s="2">
        <v>60.0</v>
      </c>
      <c r="K27" s="2"/>
      <c r="L27" s="10" t="s">
        <v>65</v>
      </c>
      <c r="M27" s="2"/>
    </row>
    <row r="28" ht="15.75" customHeight="1">
      <c r="B28" s="7" t="s">
        <v>66</v>
      </c>
      <c r="C28" s="2" t="s">
        <v>12</v>
      </c>
      <c r="D28" s="2">
        <v>10.0</v>
      </c>
      <c r="E28" s="5">
        <v>0.12</v>
      </c>
      <c r="F28" s="5">
        <v>0.12</v>
      </c>
      <c r="G28" s="5">
        <v>1.2</v>
      </c>
      <c r="H28" s="5">
        <f t="shared" si="1"/>
        <v>12</v>
      </c>
      <c r="I28" s="2"/>
      <c r="J28" s="2">
        <v>50.0</v>
      </c>
      <c r="K28" s="2"/>
      <c r="L28" s="8" t="s">
        <v>67</v>
      </c>
      <c r="M28" s="8" t="s">
        <v>68</v>
      </c>
    </row>
    <row r="29" ht="15.75" customHeight="1">
      <c r="B29" s="2" t="s">
        <v>69</v>
      </c>
      <c r="C29" s="2" t="s">
        <v>21</v>
      </c>
      <c r="D29" s="2">
        <v>1.0</v>
      </c>
      <c r="E29" s="5">
        <v>1.79</v>
      </c>
      <c r="F29" s="5">
        <v>1.79</v>
      </c>
      <c r="G29" s="5">
        <v>1.79</v>
      </c>
      <c r="H29" s="5">
        <f t="shared" si="1"/>
        <v>1.79</v>
      </c>
      <c r="I29" s="2" t="s">
        <v>29</v>
      </c>
      <c r="J29" s="2" t="s">
        <v>23</v>
      </c>
      <c r="K29" s="2"/>
      <c r="M29" s="2"/>
    </row>
    <row r="30" ht="15.75" customHeight="1">
      <c r="B30" s="11" t="s">
        <v>70</v>
      </c>
      <c r="C30" s="11" t="s">
        <v>12</v>
      </c>
      <c r="D30" s="11">
        <v>1.0</v>
      </c>
      <c r="E30" s="12">
        <v>10.0</v>
      </c>
      <c r="F30" s="12">
        <v>10.0</v>
      </c>
      <c r="G30" s="12">
        <v>10.0</v>
      </c>
      <c r="H30" s="5">
        <f t="shared" si="1"/>
        <v>10</v>
      </c>
      <c r="I30" s="11" t="s">
        <v>71</v>
      </c>
      <c r="J30" s="11" t="s">
        <v>23</v>
      </c>
      <c r="K30" s="11"/>
      <c r="L30" s="11"/>
      <c r="M30" s="11"/>
    </row>
    <row r="31" ht="15.75" customHeight="1">
      <c r="B31" s="13" t="s">
        <v>72</v>
      </c>
      <c r="C31" s="13" t="s">
        <v>12</v>
      </c>
      <c r="D31" s="13">
        <v>1.0</v>
      </c>
      <c r="E31" s="14">
        <v>13.69</v>
      </c>
      <c r="F31" s="14">
        <v>13.69</v>
      </c>
      <c r="G31" s="14">
        <v>13.69</v>
      </c>
      <c r="H31" s="5">
        <f t="shared" si="1"/>
        <v>13.69</v>
      </c>
      <c r="I31" s="11"/>
      <c r="J31" s="11"/>
      <c r="K31" s="11"/>
      <c r="L31" s="15" t="s">
        <v>73</v>
      </c>
      <c r="M31" s="11"/>
    </row>
    <row r="32" ht="15.75" customHeight="1">
      <c r="B32" s="16"/>
      <c r="C32" s="16"/>
      <c r="D32" s="16"/>
      <c r="E32" s="17" t="s">
        <v>74</v>
      </c>
      <c r="F32" s="18"/>
      <c r="G32" s="18"/>
      <c r="H32" s="18">
        <f>SUM(H3:H31)</f>
        <v>414.18</v>
      </c>
      <c r="I32" s="3"/>
      <c r="J32" s="3"/>
      <c r="K32" s="3"/>
      <c r="L32" s="3"/>
      <c r="M32" s="3"/>
    </row>
    <row r="33" ht="15.75" customHeight="1">
      <c r="B33" s="3"/>
      <c r="C33" s="3"/>
      <c r="D33" s="3"/>
      <c r="E33" s="19"/>
      <c r="F33" s="19"/>
      <c r="G33" s="19"/>
      <c r="H33" s="18"/>
      <c r="I33" s="3"/>
      <c r="J33" s="3"/>
      <c r="K33" s="3"/>
      <c r="L33" s="3"/>
      <c r="M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ataValidations>
    <dataValidation type="list" allowBlank="1" showErrorMessage="1" sqref="A1">
      <formula1>"Opción 1,Opción 2"</formula1>
    </dataValidation>
  </dataValidations>
  <hyperlinks>
    <hyperlink r:id="rId1" ref="L4"/>
    <hyperlink r:id="rId2" ref="L8"/>
    <hyperlink r:id="rId3" ref="L9"/>
    <hyperlink r:id="rId4" ref="L14"/>
    <hyperlink r:id="rId5" ref="M14"/>
    <hyperlink r:id="rId6" ref="L15"/>
    <hyperlink r:id="rId7" ref="L16"/>
    <hyperlink r:id="rId8" ref="L17"/>
    <hyperlink r:id="rId9" ref="L18"/>
    <hyperlink r:id="rId10" ref="M18"/>
    <hyperlink r:id="rId11" ref="L19"/>
    <hyperlink r:id="rId12" ref="M19"/>
    <hyperlink r:id="rId13" ref="L21"/>
    <hyperlink r:id="rId14" ref="L23"/>
    <hyperlink r:id="rId15" ref="L24"/>
    <hyperlink r:id="rId16" ref="M24"/>
    <hyperlink r:id="rId17" ref="L25"/>
    <hyperlink r:id="rId18" ref="M25"/>
    <hyperlink r:id="rId19" ref="L26"/>
    <hyperlink r:id="rId20" ref="L27"/>
    <hyperlink r:id="rId21" ref="L28"/>
    <hyperlink r:id="rId22" ref="M28"/>
    <hyperlink r:id="rId23" ref="L3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4"/>
  <tableParts count="1">
    <tablePart r:id="rId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0.75"/>
    <col customWidth="1" min="4" max="4" width="35.38"/>
    <col customWidth="1" min="5" max="5" width="16.38"/>
    <col customWidth="1" min="6" max="6" width="12.63"/>
    <col customWidth="1" min="12" max="12" width="15.0"/>
  </cols>
  <sheetData>
    <row r="1" ht="15.75" customHeight="1"/>
    <row r="2" ht="15.75" customHeight="1">
      <c r="C2" s="20" t="s">
        <v>75</v>
      </c>
      <c r="D2" s="20" t="s">
        <v>76</v>
      </c>
      <c r="E2" s="20" t="s">
        <v>77</v>
      </c>
      <c r="F2" s="20" t="s">
        <v>78</v>
      </c>
      <c r="G2" s="20" t="s">
        <v>79</v>
      </c>
      <c r="H2" s="20" t="s">
        <v>80</v>
      </c>
      <c r="I2" s="20" t="s">
        <v>81</v>
      </c>
      <c r="J2" s="20" t="s">
        <v>82</v>
      </c>
      <c r="K2" s="20" t="s">
        <v>83</v>
      </c>
      <c r="L2" s="20" t="s">
        <v>84</v>
      </c>
      <c r="M2" s="20" t="s">
        <v>85</v>
      </c>
    </row>
    <row r="3" ht="15.75" customHeight="1">
      <c r="C3" s="21" t="s">
        <v>86</v>
      </c>
      <c r="D3" s="21" t="s">
        <v>87</v>
      </c>
      <c r="E3" s="21" t="s">
        <v>88</v>
      </c>
      <c r="F3" s="21">
        <v>15.0</v>
      </c>
      <c r="G3" s="21">
        <v>40.0</v>
      </c>
      <c r="H3" s="21">
        <v>1.0</v>
      </c>
      <c r="I3" s="21" t="s">
        <v>89</v>
      </c>
      <c r="J3" s="21" t="s">
        <v>90</v>
      </c>
      <c r="K3" s="21">
        <v>2.5</v>
      </c>
      <c r="L3" s="21" t="s">
        <v>91</v>
      </c>
      <c r="M3" s="21" t="s">
        <v>92</v>
      </c>
    </row>
    <row r="4" ht="15.75" customHeight="1">
      <c r="C4" s="3"/>
      <c r="D4" s="3"/>
      <c r="E4" s="21" t="s">
        <v>88</v>
      </c>
      <c r="F4" s="21">
        <v>15.0</v>
      </c>
      <c r="G4" s="21">
        <v>40.0</v>
      </c>
      <c r="H4" s="21">
        <v>2.0</v>
      </c>
      <c r="I4" s="21" t="s">
        <v>93</v>
      </c>
      <c r="J4" s="21" t="s">
        <v>94</v>
      </c>
      <c r="K4" s="21">
        <v>2.5</v>
      </c>
      <c r="L4" s="21" t="s">
        <v>91</v>
      </c>
      <c r="M4" s="21" t="s">
        <v>92</v>
      </c>
    </row>
    <row r="5" ht="15.75" customHeight="1"/>
    <row r="6" ht="15.75" customHeight="1">
      <c r="C6" s="20" t="s">
        <v>75</v>
      </c>
      <c r="D6" s="20" t="s">
        <v>76</v>
      </c>
      <c r="E6" s="20" t="s">
        <v>77</v>
      </c>
      <c r="F6" s="20" t="s">
        <v>78</v>
      </c>
      <c r="G6" s="20" t="s">
        <v>79</v>
      </c>
      <c r="H6" s="20" t="s">
        <v>80</v>
      </c>
      <c r="I6" s="20" t="s">
        <v>81</v>
      </c>
      <c r="J6" s="20" t="s">
        <v>82</v>
      </c>
      <c r="K6" s="20" t="s">
        <v>95</v>
      </c>
      <c r="L6" s="20" t="s">
        <v>84</v>
      </c>
      <c r="M6" s="20" t="s">
        <v>85</v>
      </c>
    </row>
    <row r="7" ht="15.75" customHeight="1">
      <c r="C7" s="21" t="s">
        <v>96</v>
      </c>
      <c r="D7" s="21" t="s">
        <v>87</v>
      </c>
      <c r="E7" s="21" t="s">
        <v>88</v>
      </c>
      <c r="F7" s="21">
        <v>1.0</v>
      </c>
      <c r="G7" s="21">
        <v>40.0</v>
      </c>
      <c r="H7" s="21">
        <v>1.0</v>
      </c>
      <c r="I7" s="21" t="s">
        <v>89</v>
      </c>
      <c r="J7" s="21" t="s">
        <v>90</v>
      </c>
      <c r="K7" s="21">
        <v>0.5</v>
      </c>
      <c r="L7" s="21" t="s">
        <v>97</v>
      </c>
      <c r="M7" s="21" t="s">
        <v>92</v>
      </c>
    </row>
    <row r="8" ht="15.75" customHeight="1">
      <c r="C8" s="3"/>
      <c r="D8" s="3"/>
      <c r="E8" s="21" t="s">
        <v>88</v>
      </c>
      <c r="F8" s="21">
        <v>1.0</v>
      </c>
      <c r="G8" s="21">
        <v>40.0</v>
      </c>
      <c r="H8" s="21">
        <v>2.0</v>
      </c>
      <c r="I8" s="21" t="s">
        <v>93</v>
      </c>
      <c r="J8" s="21" t="s">
        <v>94</v>
      </c>
      <c r="K8" s="21">
        <v>0.5</v>
      </c>
      <c r="L8" s="21" t="s">
        <v>97</v>
      </c>
      <c r="M8" s="21" t="s">
        <v>92</v>
      </c>
    </row>
    <row r="9" ht="15.75" customHeight="1"/>
    <row r="10" ht="15.75" customHeight="1">
      <c r="C10" s="20" t="s">
        <v>75</v>
      </c>
      <c r="D10" s="20" t="s">
        <v>76</v>
      </c>
      <c r="E10" s="20" t="s">
        <v>77</v>
      </c>
      <c r="F10" s="20" t="s">
        <v>78</v>
      </c>
      <c r="G10" s="20" t="s">
        <v>79</v>
      </c>
      <c r="H10" s="20" t="s">
        <v>80</v>
      </c>
      <c r="I10" s="20" t="s">
        <v>81</v>
      </c>
      <c r="J10" s="20" t="s">
        <v>82</v>
      </c>
      <c r="K10" s="20" t="s">
        <v>95</v>
      </c>
      <c r="L10" s="20" t="s">
        <v>84</v>
      </c>
      <c r="M10" s="20" t="s">
        <v>85</v>
      </c>
    </row>
    <row r="11" ht="15.75" customHeight="1">
      <c r="C11" s="21" t="s">
        <v>98</v>
      </c>
      <c r="D11" s="21" t="s">
        <v>99</v>
      </c>
      <c r="E11" s="21" t="s">
        <v>100</v>
      </c>
      <c r="F11" s="21">
        <v>0.75</v>
      </c>
      <c r="G11" s="21">
        <v>10.0</v>
      </c>
      <c r="H11" s="21">
        <v>1.0</v>
      </c>
      <c r="I11" s="21" t="s">
        <v>101</v>
      </c>
      <c r="J11" s="21" t="s">
        <v>102</v>
      </c>
      <c r="K11" s="21">
        <v>0.5</v>
      </c>
      <c r="L11" s="21" t="s">
        <v>91</v>
      </c>
      <c r="M11" s="21" t="s">
        <v>103</v>
      </c>
    </row>
    <row r="12" ht="15.75" customHeight="1">
      <c r="C12" s="3"/>
      <c r="D12" s="3"/>
      <c r="E12" s="21" t="s">
        <v>100</v>
      </c>
      <c r="F12" s="21">
        <v>0.75</v>
      </c>
      <c r="G12" s="21">
        <v>10.0</v>
      </c>
      <c r="H12" s="21">
        <v>2.0</v>
      </c>
      <c r="I12" s="21" t="s">
        <v>104</v>
      </c>
      <c r="J12" s="21" t="s">
        <v>105</v>
      </c>
      <c r="K12" s="21">
        <v>0.5</v>
      </c>
      <c r="L12" s="21" t="s">
        <v>91</v>
      </c>
      <c r="M12" s="21" t="s">
        <v>103</v>
      </c>
    </row>
    <row r="13" ht="15.75" customHeight="1">
      <c r="C13" s="3"/>
      <c r="D13" s="3"/>
      <c r="E13" s="21" t="s">
        <v>23</v>
      </c>
      <c r="F13" s="21"/>
      <c r="G13" s="21">
        <v>10.0</v>
      </c>
      <c r="H13" s="21">
        <v>3.0</v>
      </c>
      <c r="I13" s="21" t="s">
        <v>106</v>
      </c>
      <c r="J13" s="21" t="s">
        <v>107</v>
      </c>
      <c r="K13" s="21">
        <v>0.5</v>
      </c>
      <c r="L13" s="21" t="s">
        <v>91</v>
      </c>
      <c r="M13" s="21" t="s">
        <v>103</v>
      </c>
    </row>
    <row r="14" ht="15.75" customHeight="1"/>
    <row r="15" ht="15.75" customHeight="1">
      <c r="C15" s="20" t="s">
        <v>75</v>
      </c>
      <c r="D15" s="20" t="s">
        <v>76</v>
      </c>
      <c r="E15" s="20" t="s">
        <v>77</v>
      </c>
      <c r="F15" s="20" t="s">
        <v>78</v>
      </c>
      <c r="G15" s="20" t="s">
        <v>79</v>
      </c>
      <c r="H15" s="20" t="s">
        <v>80</v>
      </c>
      <c r="I15" s="20" t="s">
        <v>81</v>
      </c>
      <c r="J15" s="20" t="s">
        <v>82</v>
      </c>
      <c r="K15" s="20" t="s">
        <v>95</v>
      </c>
      <c r="L15" s="20" t="s">
        <v>84</v>
      </c>
      <c r="M15" s="20" t="s">
        <v>85</v>
      </c>
    </row>
    <row r="16" ht="15.75" customHeight="1">
      <c r="C16" s="21" t="s">
        <v>108</v>
      </c>
      <c r="D16" s="21" t="s">
        <v>109</v>
      </c>
      <c r="E16" s="21" t="s">
        <v>110</v>
      </c>
      <c r="F16" s="21">
        <v>0.75</v>
      </c>
      <c r="G16" s="21">
        <v>180.0</v>
      </c>
      <c r="H16" s="21" t="s">
        <v>23</v>
      </c>
      <c r="I16" s="21" t="s">
        <v>23</v>
      </c>
      <c r="J16" s="21" t="s">
        <v>23</v>
      </c>
      <c r="K16" s="21" t="s">
        <v>23</v>
      </c>
      <c r="L16" s="21" t="s">
        <v>111</v>
      </c>
      <c r="M16" s="21" t="s">
        <v>112</v>
      </c>
    </row>
    <row r="17" ht="15.75" customHeight="1"/>
    <row r="18" ht="15.75" customHeight="1">
      <c r="C18" s="22" t="s">
        <v>75</v>
      </c>
      <c r="D18" s="22" t="s">
        <v>76</v>
      </c>
      <c r="E18" s="22" t="s">
        <v>77</v>
      </c>
      <c r="F18" s="22" t="s">
        <v>78</v>
      </c>
      <c r="G18" s="22" t="s">
        <v>79</v>
      </c>
      <c r="H18" s="22" t="s">
        <v>80</v>
      </c>
      <c r="I18" s="22" t="s">
        <v>81</v>
      </c>
      <c r="J18" s="22" t="s">
        <v>82</v>
      </c>
      <c r="K18" s="22" t="s">
        <v>95</v>
      </c>
      <c r="L18" s="22" t="s">
        <v>84</v>
      </c>
      <c r="M18" s="22" t="s">
        <v>85</v>
      </c>
    </row>
    <row r="19" ht="15.75" customHeight="1">
      <c r="C19" s="23" t="s">
        <v>113</v>
      </c>
      <c r="D19" s="23" t="s">
        <v>114</v>
      </c>
      <c r="E19" s="23" t="s">
        <v>115</v>
      </c>
      <c r="F19" s="23">
        <v>0.4</v>
      </c>
      <c r="G19" s="23">
        <v>100.0</v>
      </c>
      <c r="H19" s="23" t="s">
        <v>23</v>
      </c>
      <c r="I19" s="23" t="s">
        <v>23</v>
      </c>
      <c r="J19" s="23" t="s">
        <v>23</v>
      </c>
      <c r="K19" s="23" t="s">
        <v>23</v>
      </c>
      <c r="L19" s="23" t="s">
        <v>23</v>
      </c>
      <c r="M19" s="23" t="s">
        <v>23</v>
      </c>
    </row>
    <row r="20" ht="15.75" customHeight="1"/>
    <row r="21" ht="15.75" customHeight="1">
      <c r="C21" s="22" t="s">
        <v>75</v>
      </c>
      <c r="D21" s="22" t="s">
        <v>76</v>
      </c>
      <c r="E21" s="22" t="s">
        <v>77</v>
      </c>
      <c r="F21" s="22" t="s">
        <v>78</v>
      </c>
      <c r="G21" s="22" t="s">
        <v>79</v>
      </c>
      <c r="H21" s="22" t="s">
        <v>80</v>
      </c>
      <c r="I21" s="22" t="s">
        <v>81</v>
      </c>
      <c r="J21" s="22" t="s">
        <v>82</v>
      </c>
      <c r="K21" s="22" t="s">
        <v>95</v>
      </c>
      <c r="L21" s="22" t="s">
        <v>84</v>
      </c>
      <c r="M21" s="22" t="s">
        <v>85</v>
      </c>
    </row>
    <row r="22" ht="15.75" customHeight="1">
      <c r="C22" s="23" t="s">
        <v>116</v>
      </c>
      <c r="D22" s="23" t="s">
        <v>114</v>
      </c>
      <c r="E22" s="23" t="s">
        <v>115</v>
      </c>
      <c r="F22" s="23">
        <v>0.4</v>
      </c>
      <c r="G22" s="23">
        <v>100.0</v>
      </c>
      <c r="H22" s="23" t="s">
        <v>23</v>
      </c>
      <c r="I22" s="23" t="s">
        <v>23</v>
      </c>
      <c r="J22" s="23" t="s">
        <v>23</v>
      </c>
      <c r="K22" s="23" t="s">
        <v>23</v>
      </c>
      <c r="L22" s="23" t="s">
        <v>23</v>
      </c>
      <c r="M22" s="23" t="s">
        <v>23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C2" s="24" t="s">
        <v>117</v>
      </c>
      <c r="D2" s="24" t="s">
        <v>118</v>
      </c>
      <c r="E2" s="24" t="s">
        <v>119</v>
      </c>
    </row>
    <row r="3" ht="15.75" customHeight="1">
      <c r="B3" s="24" t="s">
        <v>120</v>
      </c>
      <c r="C3" s="24">
        <v>6.0</v>
      </c>
      <c r="D3" s="24">
        <v>80.0</v>
      </c>
      <c r="E3" s="24">
        <v>480.0</v>
      </c>
    </row>
    <row r="4" ht="15.75" customHeight="1">
      <c r="B4" s="24" t="s">
        <v>121</v>
      </c>
      <c r="C4" s="24">
        <v>1.0</v>
      </c>
      <c r="D4" s="24">
        <v>60.0</v>
      </c>
      <c r="E4" s="24">
        <v>60.0</v>
      </c>
    </row>
    <row r="5" ht="15.75" customHeight="1">
      <c r="B5" s="24" t="s">
        <v>122</v>
      </c>
      <c r="C5" s="24">
        <v>2.0</v>
      </c>
      <c r="D5" s="24">
        <v>60.0</v>
      </c>
      <c r="E5" s="24">
        <v>120.0</v>
      </c>
    </row>
    <row r="6" ht="15.75" customHeight="1">
      <c r="B6" s="24" t="s">
        <v>123</v>
      </c>
      <c r="C6" s="24">
        <v>1.0</v>
      </c>
      <c r="D6" s="24">
        <v>60.0</v>
      </c>
      <c r="E6" s="24">
        <v>60.0</v>
      </c>
    </row>
    <row r="7" ht="15.75" customHeight="1">
      <c r="B7" s="24" t="s">
        <v>124</v>
      </c>
      <c r="C7" s="24">
        <v>1.0</v>
      </c>
      <c r="D7" s="24">
        <v>60.0</v>
      </c>
      <c r="E7" s="24">
        <v>60.0</v>
      </c>
    </row>
    <row r="8" ht="15.75" customHeight="1">
      <c r="B8" s="24" t="s">
        <v>125</v>
      </c>
      <c r="E8" s="24">
        <v>780.0</v>
      </c>
    </row>
    <row r="9" ht="15.75" customHeight="1"/>
    <row r="10" ht="15.75" customHeight="1">
      <c r="B10" s="24" t="s">
        <v>126</v>
      </c>
    </row>
    <row r="11" ht="15.75" customHeight="1">
      <c r="B11" s="24" t="s">
        <v>127</v>
      </c>
    </row>
    <row r="12" ht="15.75" customHeight="1">
      <c r="B12" s="24" t="s">
        <v>128</v>
      </c>
    </row>
    <row r="13" ht="15.75" customHeight="1">
      <c r="B13" s="24" t="s">
        <v>129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